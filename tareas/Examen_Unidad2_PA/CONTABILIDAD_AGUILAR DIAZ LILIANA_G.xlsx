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externalLink+xml" PartName="/xl/externalLinks/externalLink1.xml"/>
  <Override ContentType="application/vnd.openxmlformats-officedocument.spreadsheetml.sheetMetadata+xml" PartName="/xl/metadata.xml"/>
  <Override ContentType="application/vnd.ms-excel.rdrichvalue+xml" PartName="/xl/richData/rdrichvalue.xml"/>
  <Override ContentType="application/vnd.ms-excel.rdrichvaluestructure+xml" PartName="/xl/richData/rdrichvaluestructure.xml"/>
  <Override ContentType="application/vnd.ms-excel.rdrichvaluetypes+xml" PartName="/xl/richData/rdRichValueTypes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>
    <mc:Choice Requires="x15">
      <x15ac:absPath xmlns:x15ac="http://schemas.microsoft.com/office/spreadsheetml/2010/11/ac" url="C:\Users\ccalvar\Downloads\"/>
    </mc:Choice>
  </mc:AlternateContent>
  <xr:revisionPtr revIDLastSave="0" documentId="8_{78516007-C317-43FB-9E1F-371AF5A379EA}" xr6:coauthVersionLast="47" xr6:coauthVersionMax="47" xr10:uidLastSave="{00000000-0000-0000-0000-000000000000}"/>
  <bookViews>
    <workbookView xWindow="-120" yWindow="-120" windowWidth="29040" windowHeight="15720" xr2:uid="{35040A03-EC8B-4DA8-A513-F2876295C7C9}"/>
  </bookViews>
  <sheets>
    <sheet name="ReporteProductoIntegrador" sheetId="3" r:id="rId1"/>
    <sheet name="RubricaProducto" sheetId="1" r:id="rId2"/>
    <sheet name="ListaCotejoAtributo" sheetId="4" r:id="rId3"/>
  </sheets>
  <externalReferences>
    <externalReference r:id="rId4"/>
  </externalReferences>
  <definedNames>
    <definedName name="ALUMNO">[1]ListasAsistencia!#REF!</definedName>
    <definedName name="Asignatura">[1]AsignaturaAtributo!$B:$B</definedName>
    <definedName name="Atributo">[1]Datosatributos!$A$2:$A$1048576</definedName>
    <definedName name="AtributoAsignatura">[1]AsignaturaAtributo!$C:$C</definedName>
    <definedName name="Carrera">[1]AsignaturaAtributo!$A:$A</definedName>
    <definedName name="Criterios_de_desempeño">[1]Datosatributos!$B$2:$B$1048576</definedName>
    <definedName name="Indicadores">[1]Datosatributos!$D$2:$D$1048576</definedName>
    <definedName name="LETRA">[1]ListasAsistencia!#REF!</definedName>
    <definedName name="MATRICULA">[1]ListasAsistencia!#REF!</definedName>
    <definedName name="PROFESOR">[1]ListasAsistencia!#REF!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4" l="1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C12" i="4"/>
  <c r="C11" i="4"/>
  <c r="C10" i="4"/>
  <c r="C9" i="4"/>
  <c r="C8" i="4"/>
  <c r="C7" i="4"/>
  <c r="C6" i="4"/>
  <c r="F5" i="4"/>
  <c r="C5" i="4"/>
  <c r="C4" i="4"/>
  <c r="C3" i="4"/>
  <c r="C2" i="4"/>
  <c r="C2" i="3"/>
  <c r="C3" i="3"/>
  <c r="C5" i="3"/>
  <c r="F5" i="3"/>
  <c r="C6" i="3"/>
  <c r="C7" i="3"/>
  <c r="C8" i="3"/>
  <c r="C9" i="3"/>
  <c r="C10" i="3"/>
  <c r="C11" i="3"/>
  <c r="F24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<sst xmlns="http://schemas.openxmlformats.org/spreadsheetml/2006/main" count="73" uniqueCount="46">
  <si>
    <t>RUBRICA DE EVALUACIÓN DEL ATRIBUTO DE EGRESO</t>
  </si>
  <si>
    <t>Programa educativo:</t>
  </si>
  <si>
    <t>Ing. Sistemas Computacionales</t>
  </si>
  <si>
    <t>Periodo:</t>
  </si>
  <si>
    <t>Asignatura:</t>
  </si>
  <si>
    <t>Docente:</t>
  </si>
  <si>
    <t>Actividad:</t>
  </si>
  <si>
    <t>Nivel de Atributo</t>
  </si>
  <si>
    <t>Atributo de egreso</t>
  </si>
  <si>
    <t>Criterio de desempeño</t>
  </si>
  <si>
    <t>Indicador</t>
  </si>
  <si>
    <t>Criterio</t>
  </si>
  <si>
    <t>Excelente 10</t>
  </si>
  <si>
    <t xml:space="preserve">Bueno 9 </t>
  </si>
  <si>
    <t>Regular 8-7</t>
  </si>
  <si>
    <t>No alcanza 6-0</t>
  </si>
  <si>
    <t>Dr. Marco A. Azuara Hernández</t>
  </si>
  <si>
    <t xml:space="preserve"> </t>
  </si>
  <si>
    <t>Armando Becerra del Angel</t>
  </si>
  <si>
    <t>PRESIDENTE DE ACADEMIA</t>
  </si>
  <si>
    <t>Profesor</t>
  </si>
  <si>
    <t>6-0</t>
  </si>
  <si>
    <t>No Alcanza</t>
  </si>
  <si>
    <t>8-7</t>
  </si>
  <si>
    <t>Regular</t>
  </si>
  <si>
    <t>Bueno</t>
  </si>
  <si>
    <t>Excelente</t>
  </si>
  <si>
    <t>Calificación</t>
  </si>
  <si>
    <t>Nivel de desempeño</t>
  </si>
  <si>
    <t>Calificacion</t>
  </si>
  <si>
    <t>Observaciones</t>
  </si>
  <si>
    <t>Cal.</t>
  </si>
  <si>
    <t>Criterio de evaluación</t>
  </si>
  <si>
    <t>G</t>
  </si>
  <si>
    <t>Grupo</t>
  </si>
  <si>
    <t>INSTRUMENTO DE EVALUACIÓN DEL PRODUCTO INTEGRADOR</t>
  </si>
  <si>
    <t>LISTA DE COTEJO DE EVALUACIÓN DEL PRODUCTO INTEGRADOR</t>
  </si>
  <si>
    <t>g</t>
  </si>
  <si>
    <t>Nivel del Atributo</t>
  </si>
  <si>
    <t>Producto Integrador</t>
  </si>
  <si>
    <t>Indicadores</t>
  </si>
  <si>
    <t>Alumno</t>
  </si>
  <si>
    <t>Escala de evaluación</t>
  </si>
  <si>
    <t>PROMEDIO FINAL</t>
  </si>
  <si>
    <t>CONTABILIDAD</t>
  </si>
  <si>
    <t>AGUILAR DIAZ LILIANA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</si>
</sst>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XDR&quot;* #,##0.00_-;\-&quot;XDR&quot;* #,##0.00_-;_-&quot;XDR&quot;* &quot;-&quot;??_-;_-@_-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.5"/>
      <color rgb="FF000000"/>
      <name val="Arial"/>
      <family val="2"/>
      <charset val="1"/>
    </font>
    <font>
      <b/>
      <sz val="8.5"/>
      <color rgb="FF000000"/>
      <name val="Arial"/>
      <family val="2"/>
      <charset val="1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sz val="9"/>
      <color rgb="FF000000"/>
      <name val="Aptos"/>
      <family val="2"/>
    </font>
    <font>
      <sz val="10"/>
      <color theme="1"/>
      <name val="Calibri"/>
      <family val="2"/>
      <scheme val="minor"/>
    </font>
    <font>
      <sz val="13.5"/>
      <color rgb="FF000000"/>
      <name val="Times New Roman"/>
      <family val="1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C0C0C0"/>
      </left>
      <right style="thin">
        <color rgb="FFC0C0C0"/>
      </right>
      <top style="thick">
        <color rgb="FFC0C0C0"/>
      </top>
      <bottom style="thick">
        <color rgb="FFC0C0C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3">
    <xf numFmtId="0" fontId="0" fillId="0" borderId="0" xfId="0"/>
    <xf numFmtId="0" fontId="2" fillId="2" borderId="0" xfId="1" applyFont="1" applyFill="1" applyAlignment="1">
      <alignment horizontal="center"/>
    </xf>
    <xf numFmtId="0" fontId="1" fillId="2" borderId="0" xfId="1" applyFill="1"/>
    <xf numFmtId="0" fontId="1" fillId="2" borderId="1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4" fontId="4" fillId="2" borderId="5" xfId="1" applyNumberFormat="1" applyFont="1" applyFill="1" applyBorder="1" applyAlignment="1">
      <alignment horizontal="center"/>
    </xf>
    <xf numFmtId="164" fontId="4" fillId="2" borderId="6" xfId="1" applyNumberFormat="1" applyFont="1" applyFill="1" applyBorder="1" applyAlignment="1">
      <alignment horizontal="center"/>
    </xf>
    <xf numFmtId="0" fontId="1" fillId="3" borderId="7" xfId="1" applyFill="1" applyBorder="1" applyAlignment="1">
      <alignment horizontal="center"/>
    </xf>
    <xf numFmtId="0" fontId="1" fillId="3" borderId="0" xfId="1" applyFill="1" applyAlignment="1">
      <alignment horizontal="center"/>
    </xf>
    <xf numFmtId="0" fontId="1" fillId="3" borderId="8" xfId="1" applyFill="1" applyBorder="1" applyAlignment="1">
      <alignment horizontal="center"/>
    </xf>
    <xf numFmtId="0" fontId="5" fillId="4" borderId="9" xfId="1" applyFont="1" applyFill="1" applyBorder="1" applyAlignment="1">
      <alignment horizontal="center"/>
    </xf>
    <xf numFmtId="0" fontId="1" fillId="4" borderId="5" xfId="1" applyFill="1" applyBorder="1" applyAlignment="1">
      <alignment horizontal="center"/>
    </xf>
    <xf numFmtId="0" fontId="1" fillId="2" borderId="7" xfId="1" applyFill="1" applyBorder="1" applyAlignment="1">
      <alignment horizontal="center"/>
    </xf>
    <xf numFmtId="0" fontId="1" fillId="2" borderId="0" xfId="1" applyFill="1" applyAlignment="1">
      <alignment horizontal="center"/>
    </xf>
    <xf numFmtId="0" fontId="1" fillId="2" borderId="8" xfId="1" applyFill="1" applyBorder="1" applyAlignment="1">
      <alignment horizontal="center"/>
    </xf>
    <xf numFmtId="49" fontId="6" fillId="0" borderId="9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0" xfId="1" applyFill="1" applyAlignment="1">
      <alignment vertical="center" wrapText="1"/>
    </xf>
    <xf numFmtId="0" fontId="1" fillId="2" borderId="7" xfId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8" xfId="1" applyFill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justify" wrapText="1"/>
    </xf>
    <xf numFmtId="0" fontId="4" fillId="0" borderId="5" xfId="0" applyFont="1" applyBorder="1" applyAlignment="1">
      <alignment horizontal="justify" vertical="justify" wrapText="1"/>
    </xf>
    <xf numFmtId="0" fontId="4" fillId="0" borderId="6" xfId="0" applyFont="1" applyBorder="1" applyAlignment="1">
      <alignment horizontal="justify" vertical="justify" wrapText="1"/>
    </xf>
    <xf numFmtId="0" fontId="1" fillId="3" borderId="7" xfId="1" applyFill="1" applyBorder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1" fillId="3" borderId="8" xfId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justify" vertical="justify" wrapText="1"/>
    </xf>
    <xf numFmtId="0" fontId="4" fillId="3" borderId="11" xfId="0" applyFont="1" applyFill="1" applyBorder="1" applyAlignment="1">
      <alignment horizontal="justify" vertical="justify" wrapText="1"/>
    </xf>
    <xf numFmtId="0" fontId="4" fillId="3" borderId="12" xfId="0" applyFont="1" applyFill="1" applyBorder="1" applyAlignment="1">
      <alignment horizontal="justify" vertical="justify" wrapText="1"/>
    </xf>
    <xf numFmtId="49" fontId="4" fillId="0" borderId="4" xfId="0" applyNumberFormat="1" applyFont="1" applyBorder="1" applyAlignment="1">
      <alignment horizontal="justify" vertical="justify" wrapText="1"/>
    </xf>
    <xf numFmtId="49" fontId="4" fillId="0" borderId="5" xfId="0" applyNumberFormat="1" applyFont="1" applyBorder="1" applyAlignment="1">
      <alignment horizontal="justify" vertical="justify" wrapText="1"/>
    </xf>
    <xf numFmtId="49" fontId="4" fillId="0" borderId="6" xfId="0" applyNumberFormat="1" applyFont="1" applyBorder="1" applyAlignment="1">
      <alignment horizontal="justify" vertical="justify" wrapText="1"/>
    </xf>
    <xf numFmtId="0" fontId="1" fillId="2" borderId="10" xfId="1" applyFill="1" applyBorder="1" applyAlignment="1">
      <alignment horizontal="center" vertical="center" wrapText="1"/>
    </xf>
    <xf numFmtId="0" fontId="1" fillId="2" borderId="11" xfId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wrapText="1"/>
    </xf>
    <xf numFmtId="49" fontId="4" fillId="0" borderId="5" xfId="0" applyNumberFormat="1" applyFont="1" applyBorder="1" applyAlignment="1">
      <alignment horizontal="center" wrapText="1"/>
    </xf>
    <xf numFmtId="49" fontId="4" fillId="0" borderId="6" xfId="0" applyNumberFormat="1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11" xfId="0" applyFont="1" applyBorder="1" applyAlignment="1">
      <alignment wrapText="1"/>
    </xf>
    <xf numFmtId="0" fontId="10" fillId="0" borderId="11" xfId="0" applyFont="1" applyBorder="1" applyAlignment="1">
      <alignment horizontal="center"/>
    </xf>
    <xf numFmtId="49" fontId="10" fillId="0" borderId="0" xfId="0" applyNumberFormat="1" applyFont="1"/>
    <xf numFmtId="0" fontId="10" fillId="0" borderId="0" xfId="0" applyFont="1"/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0" fillId="0" borderId="2" xfId="0" applyBorder="1" applyAlignment="1">
      <alignment horizontal="center"/>
    </xf>
    <xf numFmtId="0" fontId="1" fillId="0" borderId="0" xfId="1"/>
    <xf numFmtId="0" fontId="1" fillId="2" borderId="14" xfId="1" applyFill="1" applyBorder="1" applyAlignment="1">
      <alignment horizontal="center"/>
    </xf>
    <xf numFmtId="0" fontId="1" fillId="2" borderId="6" xfId="1" applyFill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49" fontId="1" fillId="2" borderId="14" xfId="1" applyNumberFormat="1" applyFill="1" applyBorder="1" applyAlignment="1">
      <alignment horizontal="center"/>
    </xf>
    <xf numFmtId="0" fontId="1" fillId="5" borderId="14" xfId="1" applyFill="1" applyBorder="1" applyAlignment="1">
      <alignment horizontal="center"/>
    </xf>
    <xf numFmtId="0" fontId="1" fillId="2" borderId="15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 wrapText="1"/>
    </xf>
    <xf numFmtId="0" fontId="1" fillId="2" borderId="6" xfId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2" borderId="14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/>
    </xf>
    <xf numFmtId="0" fontId="1" fillId="0" borderId="3" xfId="1" applyBorder="1" applyAlignment="1">
      <alignment horizontal="justify" vertical="justify" wrapText="1"/>
    </xf>
    <xf numFmtId="0" fontId="1" fillId="0" borderId="2" xfId="1" applyBorder="1" applyAlignment="1">
      <alignment horizontal="justify" vertical="justify" wrapText="1"/>
    </xf>
    <xf numFmtId="0" fontId="11" fillId="0" borderId="1" xfId="1" applyFont="1" applyBorder="1" applyAlignment="1">
      <alignment horizontal="justify" vertical="justify" wrapText="1"/>
    </xf>
    <xf numFmtId="0" fontId="1" fillId="2" borderId="14" xfId="1" applyFill="1" applyBorder="1" applyAlignment="1">
      <alignment horizontal="center" vertical="center"/>
    </xf>
    <xf numFmtId="0" fontId="1" fillId="0" borderId="6" xfId="1" applyBorder="1" applyAlignment="1">
      <alignment horizontal="justify" vertical="justify" wrapText="1"/>
    </xf>
    <xf numFmtId="0" fontId="1" fillId="0" borderId="5" xfId="1" applyBorder="1" applyAlignment="1">
      <alignment horizontal="justify" vertical="justify" wrapText="1"/>
    </xf>
    <xf numFmtId="0" fontId="11" fillId="0" borderId="4" xfId="1" applyFont="1" applyBorder="1" applyAlignment="1">
      <alignment horizontal="justify" vertical="justify" wrapText="1"/>
    </xf>
    <xf numFmtId="0" fontId="1" fillId="2" borderId="4" xfId="1" applyFill="1" applyBorder="1" applyAlignment="1">
      <alignment horizontal="center" vertical="center" wrapText="1"/>
    </xf>
    <xf numFmtId="0" fontId="1" fillId="2" borderId="6" xfId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1" fillId="4" borderId="14" xfId="1" applyFill="1" applyBorder="1" applyAlignment="1">
      <alignment horizontal="justify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49" fontId="1" fillId="4" borderId="14" xfId="1" applyNumberFormat="1" applyFill="1" applyBorder="1" applyAlignment="1">
      <alignment horizontal="justify" vertical="center"/>
    </xf>
    <xf numFmtId="0" fontId="3" fillId="3" borderId="14" xfId="1" applyFont="1" applyFill="1" applyBorder="1" applyAlignment="1">
      <alignment horizontal="left" vertical="center" wrapText="1"/>
    </xf>
    <xf numFmtId="49" fontId="1" fillId="4" borderId="5" xfId="1" applyNumberFormat="1" applyFill="1" applyBorder="1" applyAlignment="1">
      <alignment horizontal="center"/>
    </xf>
    <xf numFmtId="0" fontId="3" fillId="2" borderId="0" xfId="1" applyFont="1" applyFill="1" applyAlignment="1">
      <alignment horizontal="right"/>
    </xf>
    <xf numFmtId="0" fontId="1" fillId="4" borderId="5" xfId="1" applyFill="1" applyBorder="1"/>
    <xf numFmtId="0" fontId="3" fillId="2" borderId="0" xfId="1" applyFont="1" applyFill="1" applyAlignment="1">
      <alignment horizontal="left"/>
    </xf>
    <xf numFmtId="0" fontId="1" fillId="4" borderId="5" xfId="1" applyFill="1" applyBorder="1" applyAlignment="1">
      <alignment horizontal="left"/>
    </xf>
    <xf numFmtId="49" fontId="1" fillId="4" borderId="5" xfId="1" applyNumberFormat="1" applyFill="1" applyBorder="1" applyAlignment="1">
      <alignment horizontal="left"/>
    </xf>
    <xf numFmtId="49" fontId="1" fillId="4" borderId="5" xfId="1" applyNumberFormat="1" applyFill="1" applyBorder="1"/>
    <xf numFmtId="0" fontId="3" fillId="0" borderId="5" xfId="1" applyFont="1" applyBorder="1"/>
    <xf numFmtId="0" fontId="12" fillId="4" borderId="5" xfId="1" applyFont="1" applyFill="1" applyBorder="1" applyAlignment="1">
      <alignment horizontal="justify" vertical="justify"/>
    </xf>
    <xf numFmtId="0" fontId="1" fillId="0" borderId="11" xfId="1" applyBorder="1" applyAlignment="1">
      <alignment horizontal="left"/>
    </xf>
    <xf numFmtId="0" fontId="3" fillId="2" borderId="0" xfId="1" applyFont="1" applyFill="1" applyAlignment="1">
      <alignment horizontal="center" vertical="center"/>
    </xf>
    <xf numFmtId="0" fontId="1" fillId="2" borderId="11" xfId="1" applyFill="1" applyBorder="1" applyAlignment="1">
      <alignment horizontal="center"/>
    </xf>
    <xf numFmtId="49" fontId="1" fillId="0" borderId="0" xfId="1" applyNumberFormat="1" applyAlignment="1">
      <alignment horizontal="center"/>
    </xf>
    <xf numFmtId="0" fontId="1" fillId="2" borderId="5" xfId="1" applyFill="1" applyBorder="1"/>
    <xf numFmtId="0" fontId="3" fillId="2" borderId="11" xfId="1" applyFont="1" applyFill="1" applyBorder="1" applyAlignment="1">
      <alignment horizontal="right"/>
    </xf>
    <xf numFmtId="0" fontId="3" fillId="2" borderId="11" xfId="1" applyFont="1" applyFill="1" applyBorder="1" applyAlignment="1">
      <alignment horizontal="left"/>
    </xf>
    <xf numFmtId="0" fontId="3" fillId="2" borderId="0" xfId="1" applyFont="1" applyFill="1" applyAlignment="1">
      <alignment horizontal="center"/>
    </xf>
    <xf numFmtId="0" fontId="3" fillId="7" borderId="14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7" borderId="7" xfId="1" applyFont="1" applyFill="1" applyBorder="1" applyAlignment="1">
      <alignment horizontal="center" vertical="center" wrapText="1"/>
    </xf>
    <xf numFmtId="0" fontId="3" fillId="7" borderId="8" xfId="1" applyFont="1" applyFill="1" applyBorder="1" applyAlignment="1">
      <alignment horizontal="center" vertical="center" wrapText="1"/>
    </xf>
    <xf numFmtId="0" fontId="3" fillId="7" borderId="10" xfId="1" applyFont="1" applyFill="1" applyBorder="1" applyAlignment="1">
      <alignment horizontal="center" vertical="center" wrapText="1"/>
    </xf>
    <xf numFmtId="0" fontId="3" fillId="7" borderId="12" xfId="1" applyFont="1" applyFill="1" applyBorder="1" applyAlignment="1">
      <alignment horizontal="center" vertical="center" wrapText="1"/>
    </xf>
    <xf numFmtId="0" fontId="1" fillId="2" borderId="14" xfId="1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2" borderId="4" xfId="1" applyFill="1" applyBorder="1" applyAlignment="1" applyProtection="1">
      <alignment horizontal="left" vertical="center" wrapText="1"/>
      <protection locked="0"/>
    </xf>
    <xf numFmtId="0" fontId="1" fillId="2" borderId="5" xfId="1" applyFill="1" applyBorder="1" applyAlignment="1" applyProtection="1">
      <alignment horizontal="left" vertical="center" wrapText="1"/>
      <protection locked="0"/>
    </xf>
    <xf numFmtId="0" fontId="1" fillId="2" borderId="6" xfId="1" applyFill="1" applyBorder="1" applyAlignment="1" applyProtection="1">
      <alignment horizontal="left" vertical="center" wrapText="1"/>
      <protection locked="0"/>
    </xf>
    <xf numFmtId="0" fontId="1" fillId="0" borderId="14" xfId="1" applyBorder="1"/>
    <xf numFmtId="0" fontId="1" fillId="3" borderId="4" xfId="1" applyFill="1" applyBorder="1" applyAlignment="1">
      <alignment horizontal="right"/>
    </xf>
    <xf numFmtId="0" fontId="1" fillId="3" borderId="5" xfId="1" applyFill="1" applyBorder="1" applyAlignment="1">
      <alignment horizontal="right"/>
    </xf>
    <xf numFmtId="0" fontId="1" fillId="3" borderId="6" xfId="1" applyFill="1" applyBorder="1" applyAlignment="1">
      <alignment horizontal="right"/>
    </xf>
    <xf numFmtId="0" fontId="1" fillId="6" borderId="14" xfId="1" applyFill="1" applyBorder="1"/>
    <xf numFmtId="0" fontId="12" fillId="4" borderId="5" xfId="1" applyFont="1" applyFill="1" applyBorder="1" applyAlignment="1">
      <alignment horizontal="justify" vertical="justify" wrapText="1"/>
    </xf>
    <xf numFmtId="49" fontId="1" fillId="4" borderId="0" xfId="1" applyNumberFormat="1" applyFill="1"/>
    <xf numFmtId="0" fontId="1" fillId="4" borderId="4" xfId="1" applyFill="1" applyBorder="1" applyAlignment="1">
      <alignment horizontal="center" vertical="center" wrapText="1"/>
    </xf>
    <xf numFmtId="0" fontId="1" fillId="4" borderId="5" xfId="1" applyFill="1" applyBorder="1" applyAlignment="1">
      <alignment horizontal="center" vertical="center" wrapText="1"/>
    </xf>
    <xf numFmtId="0" fontId="1" fillId="4" borderId="7" xfId="1" applyFill="1" applyBorder="1" applyAlignment="1">
      <alignment horizontal="justify" vertical="justify"/>
    </xf>
    <xf numFmtId="0" fontId="1" fillId="4" borderId="0" xfId="1" applyFill="1" applyAlignment="1">
      <alignment horizontal="justify" vertical="justify"/>
    </xf>
    <xf numFmtId="0" fontId="1" fillId="4" borderId="1" xfId="1" applyFill="1" applyBorder="1" applyAlignment="1">
      <alignment horizontal="left" vertical="center"/>
    </xf>
    <xf numFmtId="0" fontId="1" fillId="4" borderId="2" xfId="1" applyFill="1" applyBorder="1" applyAlignment="1">
      <alignment horizontal="left" vertical="center"/>
    </xf>
    <xf numFmtId="0" fontId="1" fillId="4" borderId="7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</cellXfs>
  <cellStyles count="2">
    <cellStyle name="Normal" xfId="0" builtinId="0"/>
    <cellStyle name="Normal 2" xfId="1" xr:uid="{934BC220-4512-44C1-BFBC-DB7F674C8B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richData/rdrichvaluestructure.xml" Type="http://schemas.microsoft.com/office/2017/06/relationships/rdRichValueStructure"/><Relationship Id="rId11" Target="richData/rdRichValueTypes.xml" Type="http://schemas.microsoft.com/office/2017/06/relationships/rdRichValueTypes"/><Relationship Id="rId12" Target="calcChain.xml" Type="http://schemas.openxmlformats.org/officeDocument/2006/relationships/calcChain"/><Relationship Id="rId13" Target="../customXml/item1.xml" Type="http://schemas.openxmlformats.org/officeDocument/2006/relationships/customXml"/><Relationship Id="rId14" Target="../customXml/item2.xml" Type="http://schemas.openxmlformats.org/officeDocument/2006/relationships/customXml"/><Relationship Id="rId15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metadata.xml" Type="http://schemas.openxmlformats.org/officeDocument/2006/relationships/sheetMetadata"/><Relationship Id="rId9" Target="richData/rdrichvalue.xml" Type="http://schemas.microsoft.com/office/2017/06/relationships/rdRichValue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76200</xdr:rowOff>
    </xdr:from>
    <xdr:ext cx="786082" cy="694373"/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4528854C-52B4-499C-A048-DBD03C658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76200"/>
          <a:ext cx="786082" cy="69437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304800</xdr:colOff>
      <xdr:row>0</xdr:row>
      <xdr:rowOff>0</xdr:rowOff>
    </xdr:from>
    <xdr:ext cx="1531620" cy="636012"/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DB0A3986-8116-4577-8D16-70D27F1A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0"/>
          <a:ext cx="1531620" cy="6360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2</xdr:col>
      <xdr:colOff>366982</xdr:colOff>
      <xdr:row>3</xdr:row>
      <xdr:rowOff>141923</xdr:rowOff>
    </xdr:to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9E6EB69E-9A67-43EF-BC26-2F993D975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6667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333375</xdr:colOff>
      <xdr:row>0</xdr:row>
      <xdr:rowOff>57150</xdr:rowOff>
    </xdr:from>
    <xdr:to>
      <xdr:col>13</xdr:col>
      <xdr:colOff>474345</xdr:colOff>
      <xdr:row>3</xdr:row>
      <xdr:rowOff>74037</xdr:rowOff>
    </xdr:to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B8BB54E4-01CE-4859-86A3-0BAE08021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57150"/>
          <a:ext cx="1531620" cy="6360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376507</xdr:colOff>
      <xdr:row>0</xdr:row>
      <xdr:rowOff>741998</xdr:rowOff>
    </xdr:to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24E79BF0-714F-42E2-BF2E-E037A6A9F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104775</xdr:colOff>
      <xdr:row>0</xdr:row>
      <xdr:rowOff>0</xdr:rowOff>
    </xdr:from>
    <xdr:to>
      <xdr:col>6</xdr:col>
      <xdr:colOff>1636395</xdr:colOff>
      <xdr:row>0</xdr:row>
      <xdr:rowOff>636012</xdr:rowOff>
    </xdr:to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E7C2F4D9-0F8E-4270-81E8-9208BE9C4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0"/>
          <a:ext cx="1531620" cy="6360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Atributos_Medio__2025_1.xlsx" TargetMode="External" Type="http://schemas.openxmlformats.org/officeDocument/2006/relationships/externalLinkPath"/><Relationship Id="rId2" Target="file:///C:/Users/ccalvar/Downloads/Atributos_Medio__2025_1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bricaProducto"/>
      <sheetName val="Instrucciones"/>
      <sheetName val="Datosatributos"/>
      <sheetName val="Instrucciones_2"/>
      <sheetName val="ReporteProductoIntegrador"/>
      <sheetName val="Instruccion 3"/>
      <sheetName val="ListaCotejoAtributo"/>
      <sheetName val="Datos"/>
      <sheetName val="AsignaturaAtributo"/>
      <sheetName val="ListasAsistencia"/>
      <sheetName val="ListaAlumnos"/>
    </sheetNames>
    <sheetDataSet>
      <sheetData sheetId="0">
        <row r="5">
          <cell r="E5" t="str">
            <v>Ing. Sistemas Computacionales</v>
          </cell>
        </row>
      </sheetData>
      <sheetData sheetId="1"/>
      <sheetData sheetId="2">
        <row r="2">
          <cell r="A2" t="str">
            <v>Identificar, formular y resolver problemas de ingeniería aplicando los principios de las ciencias básicas en ingeniería.</v>
          </cell>
          <cell r="B2" t="str">
            <v>Ante un problema definido, interpretan los requerimientos y necesidades. Así como obtiene los datos suficientes para su descripción.</v>
          </cell>
          <cell r="D2" t="str">
            <v>Representa las variables en un modelo para poder manipular los indicadores (modelación).</v>
          </cell>
        </row>
        <row r="3">
          <cell r="A3" t="str">
            <v>Identificar, formular y resolver problemas de ingeniería aplicando los principios de las ciencias básicas en ingeniería.</v>
          </cell>
          <cell r="B3" t="str">
            <v>Plantea y resuelve problemas asociados a la ingeniería utilizando ciencias básicas y ciencias de la ingeniería.</v>
          </cell>
          <cell r="D3" t="str">
            <v>Identifica los problemas y sus variables para abordarlos de acuerdo con el análisis matemático mediante distintas herramientas de las ciencias básicas y de ingeniería.</v>
          </cell>
        </row>
        <row r="4">
          <cell r="A4" t="str">
            <v>Identificar, formular y resolver problemas de ingeniería aplicando los principios de las ciencias básicas en ingeniería.</v>
          </cell>
          <cell r="B4" t="str">
            <v>Proponen, comparan diferentes alternativas de solución y seleccionan la más adecuada satisfaciendo los requerimientos del problema ingenieril, con el apoyo de la tecnología.</v>
          </cell>
          <cell r="D4" t="str">
            <v>Conoce diferentes herramientas tecnológicas para apoyarse en la solución del problema.</v>
          </cell>
        </row>
        <row r="5">
          <cell r="A5" t="str">
            <v>Identificar, formular y resolver problemas de ingeniería aplicando los principios de las ciencias básicas en ingeniería.</v>
          </cell>
          <cell r="B5" t="str">
            <v>Proponen, comparan diferentes alternativas de solución y seleccionan la más adecuada satisfaciendo los requerimientos del problema ingenieril, con el apoyo de la tecnología.</v>
          </cell>
          <cell r="D5" t="str">
            <v>Optimiza mediante herramientas tecnológicas los tiempos y costos en un problema proyecto ingenieril.</v>
          </cell>
        </row>
        <row r="6">
          <cell r="A6" t="str">
            <v>Identificar, formular y resolver problemas de ingeniería aplicando los principios de las ciencias básicas en ingeniería.</v>
          </cell>
          <cell r="B6" t="str">
            <v>Elaboran las especificaciones técnicas para la construcción, el desarrollo e implementación de la solución de un problema un proyecto usando normas y estándares nacionales e internacionales.</v>
          </cell>
          <cell r="D6" t="str">
            <v>Aplica los requisitos de un estudio técnico para la elaboración, desarrollo e implementación de la solución de un problema proyecto.</v>
          </cell>
        </row>
        <row r="7">
          <cell r="A7" t="str">
            <v>Aplicar, analizar y sintetizar procesos de diseño de ingeniería que resulten en proyectos que cumplen las necesidades especificadas.</v>
          </cell>
          <cell r="B7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7" t="str">
            <v>Comprende la metodología del diseño que inciden en proyectos o sistemas de ingeniería</v>
          </cell>
        </row>
        <row r="8">
          <cell r="A8" t="str">
            <v>Aplicar, analizar y sintetizar procesos de diseño de ingeniería que resulten en proyectos que cumplen las necesidades especificadas.</v>
          </cell>
          <cell r="B8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8" t="str">
            <v>Selecciona y utiliza adecuadamente las herramientas técnicas y tecnológicas de diseño.</v>
          </cell>
        </row>
        <row r="9">
          <cell r="A9" t="str">
            <v>Aplicar, analizar y sintetizar procesos de diseño de ingeniería que resulten en proyectos que cumplen las necesidades especificadas.</v>
          </cell>
          <cell r="B9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9" t="str">
            <v>Utiliza y cumple en el diseño del proyecto o sistema con los requerimientos establecidos aplicables.</v>
          </cell>
        </row>
        <row r="10">
          <cell r="A10" t="str">
            <v>Aplicar, analizar y sintetizar procesos de diseño de ingeniería que resulten en proyectos que cumplen las necesidades especificadas.</v>
          </cell>
          <cell r="B10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0" t="str">
            <v>Comprende los distintos tipos de diseño y utiliza adecuadamente los procedimientos y herramientas de diseño para un proyecto complejo de ingeniería.</v>
          </cell>
        </row>
        <row r="11">
          <cell r="A11" t="str">
            <v>Aplicar, analizar y sintetizar procesos de diseño de ingeniería que resulten en proyectos que cumplen las necesidades especificadas.</v>
          </cell>
          <cell r="B11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1" t="str">
            <v>Selecciona y utiliza el procedimiento más pertinente para diseñar el proyecto considerando las normas aplicables.</v>
          </cell>
        </row>
        <row r="12">
          <cell r="A12" t="str">
            <v>Aplicar, analizar y sintetizar procesos de diseño de ingeniería que resulten en proyectos que cumplen las necesidades especificadas.</v>
          </cell>
          <cell r="B12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2" t="str">
            <v>Formula y evalúa el proyecto considerando en su diseño, los requerimientos establecidos así́ como las normas correspondientes.</v>
          </cell>
        </row>
        <row r="13">
          <cell r="A13" t="str">
            <v>Aplicar, analizar y sintetizar procesos de diseño de ingeniería que resulten en proyectos que cumplen las necesidades especificadas.</v>
          </cell>
          <cell r="B13" t="str">
            <v>Capacidad para valorar el impacto del diseño para la toma de decisiones, que atienda riesgos de salud y seguridad, estándares aplicables, consideraciones económicas, ambientales, culturales y sociales.</v>
          </cell>
          <cell r="D13" t="str">
            <v>Comprende las normas y estándares existentes que debe cumplir el proyecto.</v>
          </cell>
        </row>
        <row r="14">
          <cell r="A14" t="str">
            <v>Aplicar, analizar y sintetizar procesos de diseño de ingeniería que resulten en proyectos que cumplen las necesidades especificadas.</v>
          </cell>
          <cell r="B14" t="str">
            <v>Capacidad para valorar el impacto del diseño para la toma de decisiones, que atienda riesgos de salud y seguridad, estándares aplicables, consideraciones económicas, ambientales, culturales y sociales.</v>
          </cell>
          <cell r="D14" t="str">
            <v>Comprende y cumple con los lineamientos de Seguridad industrial y social.</v>
          </cell>
        </row>
        <row r="15">
          <cell r="A15" t="str">
            <v>Aplicar, analizar y sintetizar procesos de diseño de ingeniería que resulten en proyectos que cumplen las necesidades especificadas.</v>
          </cell>
          <cell r="B15" t="str">
            <v>Capacidad para valorar el impacto del diseño para la toma de decisiones, que atienda riesgos de salud y seguridad, estándares aplicables, consideraciones económicas, ambientales, culturales y sociales.</v>
          </cell>
          <cell r="D15" t="str">
            <v>Analiza e incorpora el Impacto ambiental, social y económico de la solución propuesta por el proyecto.</v>
          </cell>
        </row>
        <row r="16">
          <cell r="A16" t="str">
            <v>Desarrollar y conducir una experimentación adecuada; analizar e interpretar datos y utilizar el juicio ingenieril para establecer conclusiones.</v>
          </cell>
          <cell r="B16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6" t="str">
            <v>Conoce el contexto del problema a resolver.</v>
          </cell>
        </row>
        <row r="17">
          <cell r="A17" t="str">
            <v>Desarrollar y conducir una experimentación adecuada; analizar e interpretar datos y utilizar el juicio ingenieril para establecer conclusiones.</v>
          </cell>
          <cell r="B17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7" t="str">
            <v>Formula hipótesis que conducen a la solución del problema en cuestión</v>
          </cell>
        </row>
        <row r="18">
          <cell r="A18" t="str">
            <v>Desarrollar y conducir una experimentación adecuada; analizar e interpretar datos y utilizar el juicio ingenieril para establecer conclusiones.</v>
          </cell>
          <cell r="B18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8" t="str">
            <v>Identifica las variables dependientes e independientes.</v>
          </cell>
        </row>
        <row r="19">
          <cell r="A19" t="str">
            <v>Desarrollar y conducir una experimentación adecuada; analizar e interpretar datos y utilizar el juicio ingenieril para establecer conclusiones.</v>
          </cell>
          <cell r="B19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9" t="str">
            <v>Formula los indicadores de medición de las variables.</v>
          </cell>
        </row>
        <row r="20">
          <cell r="A20" t="str">
            <v>Desarrollar y conducir una experimentación adecuada; analizar e interpretar datos y utilizar el juicio ingenieril para establecer conclusiones.</v>
          </cell>
          <cell r="B20" t="str">
            <v>Demuestran que ellos pueden conducir un procedimiento experimental, usando adecuadamente los materiales y los equipos de laboratorio apropiados.</v>
          </cell>
          <cell r="D20" t="str">
            <v>Conduce la experimentación de acuerdo con el método científico para llegar a resultados y concluir las hipótesis.</v>
          </cell>
        </row>
        <row r="21">
          <cell r="A21" t="str">
            <v>Desarrollar y conducir una experimentación adecuada; analizar e interpretar datos y utilizar el juicio ingenieril para establecer conclusiones.</v>
          </cell>
          <cell r="D21" t="str">
            <v>Conoce y aplica los materiales y equipos a usar en la experimentación</v>
          </cell>
        </row>
        <row r="22">
          <cell r="A22" t="str">
            <v>Desarrollar y conducir una experimentación adecuada; analizar e interpretar datos y utilizar el juicio ingenieril para establecer conclusiones.</v>
          </cell>
          <cell r="B22" t="str">
            <v>Cumplen cuidadosamente con todas las normas de seguridad, tomando con cuidado y precisión las mediciones, las registran para hacer el reporte y describen a otros claramente el proceso seguido.</v>
          </cell>
          <cell r="D22" t="str">
            <v xml:space="preserve">Propone un plan de experimentación con las necesidades e insumos necesarios y elabora reportes con los resultados. </v>
          </cell>
        </row>
        <row r="23">
          <cell r="A23" t="str">
            <v>Desarrollar y conducir una experimentación adecuada; analizar e interpretar datos y utilizar el juicio ingenieril para establecer conclusiones.</v>
          </cell>
          <cell r="B23" t="str">
            <v>Analizan e interpretan los resultados utilizando las herramientas matemáticas y las representaciones adecuadas</v>
          </cell>
          <cell r="D23" t="str">
            <v>Analiza los resultados obtenidos de la experimentación y compara con los parámetros de referencia para emitir las conclusiones al procedimiento.</v>
          </cell>
        </row>
        <row r="24">
          <cell r="A24" t="str">
            <v>Desarrollar y conducir una experimentación adecuada; analizar e interpretar datos y utilizar el juicio ingenieril para establecer conclusiones.</v>
          </cell>
          <cell r="B24" t="str">
            <v>Interpretan y explican, con base en la teoría, los resultados obtenidos para comprobar la hipótesis presentada.</v>
          </cell>
          <cell r="D24" t="str">
            <v>Formula las conclusiones de las hipótesis de acuerdo con los resultados obtenidos en el procedimiento experimental.</v>
          </cell>
        </row>
        <row r="25">
          <cell r="A25" t="str">
            <v>Comunicarse efectivamente con diferentes audiencias.</v>
          </cell>
          <cell r="B25" t="str">
            <v>Estructura y presenta reportes, en forma oral y escrita.</v>
          </cell>
          <cell r="D25" t="str">
            <v>Genera eficientemente los informes necesarios de un proyecto ingenieril de manera oral, escrita y gráfica, según la audiencia.</v>
          </cell>
        </row>
        <row r="26">
          <cell r="A26" t="str">
            <v>Comunicarse efectivamente con diferentes audiencias.</v>
          </cell>
          <cell r="B26" t="str">
            <v>Utiliza efectivamente tecnologías de información y comunicación.</v>
          </cell>
          <cell r="D26" t="str">
            <v>Emplea la tecnología de vanguardia para comunicar eficazmente los resultados de un proyecto ingenieril.</v>
          </cell>
        </row>
        <row r="27">
          <cell r="A27" t="str">
            <v>Comunicarse efectivamente con diferentes audiencias.</v>
          </cell>
          <cell r="B27" t="str">
            <v>Elabora informes técnicos utilizando una estructura formal de textos científicos.</v>
          </cell>
          <cell r="D27" t="str">
            <v>Aplica la metodología de investigación, para poder redactar informes técnicos necesarios en las organizaciones.</v>
          </cell>
        </row>
        <row r="28">
          <cell r="A28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8" t="str">
            <v>Son conscientes de los conceptos y valores implicados en la puesta en marcha del proyecto de ingeniería considerando el impacto social, económico y ambiental en el contexto de aplicación.</v>
          </cell>
          <cell r="D28" t="str">
            <v>Comprende con claridad los conceptos y los códigos de ética vinculados con su profesión y se conduce de acuerdo con ellos.</v>
          </cell>
        </row>
        <row r="29">
          <cell r="A2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9" t="str">
            <v>Son conscientes de los conceptos y valores implicados en la puesta en marcha del proyecto de ingeniería considerando el impacto social, económico y ambiental en el contexto de aplicación.</v>
          </cell>
          <cell r="D29" t="str">
            <v>Comprende con claridad la responsabilidad integral que tiene todo ingeniero al momento de tomar una decisión, considerando el impacto social, económico y ambiental.</v>
          </cell>
        </row>
        <row r="30">
          <cell r="A30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0" t="str">
            <v>Analizan críticamente los juicios propios y ajenos sobre la realidad, y son conscientes de las consecuencias e implicaciones de estos.</v>
          </cell>
          <cell r="D30" t="str">
            <v>Respeta la normatividad existente en las empresas, así como la normatividad específica de su profesión y es consciente de las consecuencias de no respetarlas.</v>
          </cell>
        </row>
        <row r="31">
          <cell r="A31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1" t="str">
            <v>Muestran y argumentan la pertenencia de los comportamientos y juicios que se emiten, fundamentados en conceptos éticos y deontológicos.</v>
          </cell>
          <cell r="D31" t="str">
            <v>Aplica los conceptos éticos y deontológicos en el ejercicio diario de su profesión.</v>
          </cell>
        </row>
        <row r="32">
          <cell r="A32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2" t="str">
            <v>Muestran y argumentan la pertenencia de los comportamientos y juicios que se emiten, fundamentados en conceptos éticos y deontológicos.</v>
          </cell>
          <cell r="D32" t="str">
            <v>Participa en la revisión y actualización de los procesos normativos de la empresa, para su pertinencia.</v>
          </cell>
        </row>
        <row r="33">
          <cell r="A33" t="str">
            <v>Actualización. Reconocer la necesidad permanente de conocimiento adicional y tener la habilidad para localizar, evaluar, integrar y aplicar este conocimiento adecuadamente.</v>
          </cell>
          <cell r="B33" t="str">
            <v>Practica la autocrítica para poder identificar áreas de oportunidad, que le permitan la obtención de conocimiento adicional.</v>
          </cell>
          <cell r="D33" t="str">
            <v>Realiza periódicamente estrategias de critica personal, para identificar áreas de oportunidad de conocimiento adicional en el campo profesional según el área en que se desenvuelve.</v>
          </cell>
        </row>
        <row r="34">
          <cell r="A34" t="str">
            <v>Actualización. Reconocer la necesidad permanente de conocimiento adicional y tener la habilidad para localizar, evaluar, integrar y aplicar este conocimiento adecuadamente.</v>
          </cell>
          <cell r="B34" t="str">
            <v>Planea las actividades necesarias para mantener una actualización permanente, para tener las competencias que le permitan plantear las soluciones más pertinentes.</v>
          </cell>
          <cell r="D34" t="str">
            <v>Realiza la planeación y organización necesarias para la adquisición del conocimiento y habilidades que le permiten actualizarse en su profesión.</v>
          </cell>
        </row>
        <row r="35">
          <cell r="A35" t="str">
            <v>Actualización. Reconocer la necesidad permanente de conocimiento adicional y tener la habilidad para localizar, evaluar, integrar y aplicar este conocimiento adecuadamente.</v>
          </cell>
          <cell r="B35" t="str">
            <v xml:space="preserve">Muestra interés permanente para practicar el autoaprendizaje, y es consciente de lo importancia de llevarlo a cabo para la obtención de más competencias.  </v>
          </cell>
          <cell r="D35" t="str">
            <v>Demuestra habilidad para aprender por su cuenta en la búsqueda de nuevas competencias profesionales.</v>
          </cell>
        </row>
        <row r="36">
          <cell r="A36" t="str">
            <v>Trabajar efectivamente en equipos que establecen metas, planean tareas, cumplen fechas límite y analizan riesgos e incertidumbre.</v>
          </cell>
          <cell r="B36" t="str">
            <v>Planea las actividades necesarias y los tiempos establecidos para el cumplimiento de metas, considerando los riesgos.</v>
          </cell>
          <cell r="D36" t="str">
            <v>Participa con otros equipos para la elaboración de planes de trabajo para el cumplimiento de metas en conjunto</v>
          </cell>
        </row>
        <row r="37">
          <cell r="A37" t="str">
            <v>Trabajar efectivamente en equipos que establecen metas, planean tareas, cumplen fechas límite y analizan riesgos e incertidumbre.</v>
          </cell>
          <cell r="B37" t="str">
            <v>Realiza las funciones encomendadas por el equipo de trabajo.</v>
          </cell>
          <cell r="D37" t="str">
            <v>Demuestra habilidad para desarrollar funciones en coordinación con otros equipos de trabajo</v>
          </cell>
        </row>
        <row r="38">
          <cell r="A38" t="str">
            <v>Trabajar efectivamente en equipos que establecen metas, planean tareas, cumplen fechas límite y analizan riesgos e incertidumbre.</v>
          </cell>
          <cell r="B38" t="str">
            <v>Discute el resultado logrado con el equipo de trabajo, escuchando y respetando la opinión de los otros miembros del equipo.</v>
          </cell>
          <cell r="D38" t="str">
            <v>Mantiene una comunicación permanente con su equipo de trabajo, tomando siempre en cuenta y respetando la opinión de todos, obteniendo los mejores resultados.</v>
          </cell>
        </row>
      </sheetData>
      <sheetData sheetId="3"/>
      <sheetData sheetId="4">
        <row r="8">
          <cell r="C8" t="str">
            <v xml:space="preserve"> </v>
          </cell>
        </row>
        <row r="9">
          <cell r="C9" t="str">
            <v xml:space="preserve"> </v>
          </cell>
        </row>
        <row r="10">
          <cell r="C10" t="str">
            <v xml:space="preserve"> </v>
          </cell>
        </row>
        <row r="11">
          <cell r="C11" t="str">
            <v xml:space="preserve"> </v>
          </cell>
        </row>
      </sheetData>
      <sheetData sheetId="5"/>
      <sheetData sheetId="6"/>
      <sheetData sheetId="7"/>
      <sheetData sheetId="8">
        <row r="1">
          <cell r="A1" t="str">
            <v>Ing. Sistemas Computacionales</v>
          </cell>
          <cell r="B1" t="str">
            <v>ADMINISTRACION DE BASE DE DATOS CORPORATIVAS</v>
          </cell>
          <cell r="C1" t="str">
            <v>Actualización. Reconocer la necesidad permanente de conocimiento adicional y tener la habilidad para localizar, evaluar, integrar y aplicar este conocimiento adecuadamente.</v>
          </cell>
        </row>
        <row r="2">
          <cell r="A2" t="str">
            <v>Ing. Sistemas Computacionales</v>
          </cell>
          <cell r="B2" t="str">
            <v>ADMINISTRACION DE BASE DE DATOS CORPORATIVAS</v>
          </cell>
          <cell r="C2" t="str">
            <v>Aplicar, analizar y sintetizar procesos de diseño de ingeniería que resulten en proyectos que cumplen las necesidades especificadas.</v>
          </cell>
        </row>
        <row r="3">
          <cell r="A3" t="str">
            <v>Ing. Sistemas Computacionales</v>
          </cell>
          <cell r="B3" t="str">
            <v>ANALISIS DE ALGORITMOS</v>
          </cell>
          <cell r="C3" t="str">
            <v>Aplicar, analizar y sintetizar procesos de diseño de ingeniería que resulten en proyectos que cumplen las necesidades especificadas.</v>
          </cell>
        </row>
        <row r="4">
          <cell r="A4" t="str">
            <v>Ing. Sistemas Computacionales</v>
          </cell>
          <cell r="B4" t="str">
            <v>ANALISIS DE ALGORITMOS</v>
          </cell>
          <cell r="C4" t="str">
            <v>Identificar, formular y resolver problemas de ingeniería aplicando los principios de las ciencias básicas en ingeniería.</v>
          </cell>
        </row>
        <row r="5">
          <cell r="A5" t="str">
            <v>Ing. Sistemas Computacionales</v>
          </cell>
          <cell r="B5" t="str">
            <v>ARQUITECTURA DE COMPUTADORAS</v>
          </cell>
          <cell r="C5" t="str">
            <v>Aplicar, analizar y sintetizar procesos de diseño de ingeniería que resulten en proyectos que cumplen las necesidades especificadas.</v>
          </cell>
        </row>
        <row r="6">
          <cell r="A6" t="str">
            <v>Ing. Sistemas Computacionales</v>
          </cell>
          <cell r="B6" t="str">
            <v>ARQUITECTURA DE COMPUTADORAS</v>
          </cell>
          <cell r="C6" t="str">
            <v>Identificar, formular y resolver problemas de ingeniería aplicando los principios de las ciencias básicas en ingeniería.</v>
          </cell>
        </row>
        <row r="7">
          <cell r="A7" t="str">
            <v>Ing. Sistemas Computacionales</v>
          </cell>
          <cell r="B7" t="str">
            <v>BASE DE DATOS AVANZADAS</v>
          </cell>
          <cell r="C7" t="str">
            <v>Identificar, formular y resolver problemas de ingeniería aplicando los principios de las ciencias básicas en ingeniería.</v>
          </cell>
        </row>
        <row r="8">
          <cell r="A8" t="str">
            <v>Ing. Sistemas Computacionales</v>
          </cell>
          <cell r="B8" t="str">
            <v>CONTABILIDAD</v>
          </cell>
          <cell r="C8" t="str">
            <v>Comunicarse efectivamente con diferentes audiencias.</v>
          </cell>
        </row>
        <row r="9">
          <cell r="A9" t="str">
            <v>Ing. Sistemas Computacionales</v>
          </cell>
          <cell r="B9" t="str">
            <v>CONTABILIDAD</v>
          </cell>
          <cell r="C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10">
          <cell r="A10" t="str">
            <v>Ing. Sistemas Computacionales</v>
          </cell>
          <cell r="B10" t="str">
            <v>CONTABILIDAD</v>
          </cell>
          <cell r="C10" t="str">
            <v>Trabajar efectivamente en equipos que establecen metas, planean tareas, cumplen fechas límite y analizan riesgos e incertidumbre.</v>
          </cell>
        </row>
        <row r="11">
          <cell r="A11" t="str">
            <v>Ing. Sistemas Computacionales</v>
          </cell>
          <cell r="B11" t="str">
            <v>CREATIVIDAD INNOVACION Y CALIDAD LABORAL</v>
          </cell>
          <cell r="C11" t="str">
            <v>Trabajar efectivamente en equipos que establecen metas, planean tareas, cumplen fechas límite y analizan riesgos e incertidumbre.</v>
          </cell>
        </row>
        <row r="12">
          <cell r="A12" t="str">
            <v>Ing. Sistemas Computacionales</v>
          </cell>
          <cell r="B12" t="str">
            <v>DISEÑO DIGITAL</v>
          </cell>
          <cell r="C12" t="str">
            <v>Aplicar, analizar y sintetizar procesos de diseño de ingeniería que resulten en proyectos que cumplen las necesidades especificadas.</v>
          </cell>
        </row>
        <row r="13">
          <cell r="A13" t="str">
            <v>Ing. Sistemas Computacionales</v>
          </cell>
          <cell r="B13" t="str">
            <v>DISEÑO ELECTRONICO BASADO EN SISTEMAS EMBEBIDOS</v>
          </cell>
          <cell r="C13" t="str">
            <v>Desarrollar y conducir una experimentación adecuada; analizar e interpretar datos y utilizar el juicio ingenieril para establecer conclusiones.</v>
          </cell>
        </row>
        <row r="14">
          <cell r="A14" t="str">
            <v>Ing. Sistemas Computacionales</v>
          </cell>
          <cell r="B14" t="str">
            <v>ELECTRICIDAD, MAGNETISMO Y OPTICA</v>
          </cell>
          <cell r="C14" t="str">
            <v>Identificar, formular y resolver problemas de ingeniería aplicando los principios de las ciencias básicas en ingeniería.</v>
          </cell>
        </row>
        <row r="15">
          <cell r="A15" t="str">
            <v>Ing. Sistemas Computacionales</v>
          </cell>
          <cell r="B15" t="str">
            <v>ELECTRONICA AVANZADA</v>
          </cell>
          <cell r="C15" t="str">
            <v>Aplicar, analizar y sintetizar procesos de diseño de ingeniería que resulten en proyectos que cumplen las necesidades especificadas.</v>
          </cell>
        </row>
        <row r="16">
          <cell r="A16" t="str">
            <v>Ing. Sistemas Computacionales</v>
          </cell>
          <cell r="B16" t="str">
            <v>ESTRUCTURA DE DATOS</v>
          </cell>
          <cell r="C16" t="str">
            <v>Aplicar, analizar y sintetizar procesos de diseño de ingeniería que resulten en proyectos que cumplen las necesidades especificadas.</v>
          </cell>
        </row>
        <row r="17">
          <cell r="A17" t="str">
            <v>Ing. Sistemas Computacionales</v>
          </cell>
          <cell r="B17" t="str">
            <v>ESTRUCTURA DE DATOS</v>
          </cell>
          <cell r="C17" t="str">
            <v>Identificar, formular y resolver problemas de ingeniería aplicando los principios de las ciencias básicas en ingeniería.</v>
          </cell>
        </row>
        <row r="18">
          <cell r="A18" t="str">
            <v>Ing. Sistemas Computacionales</v>
          </cell>
          <cell r="B18" t="str">
            <v>EVALUACION DE PROYECTOS DE INGENIERIA DE SOFTWARE</v>
          </cell>
          <cell r="C18" t="str">
            <v>Aplicar, analizar y sintetizar procesos de diseño de ingeniería que resulten en proyectos que cumplen las necesidades especificadas.</v>
          </cell>
        </row>
        <row r="19">
          <cell r="A19" t="str">
            <v>Ing. Sistemas Computacionales</v>
          </cell>
          <cell r="B19" t="str">
            <v>EVALUACION DE PROYECTOS DE INGENIERIA DE SOFTWARE</v>
          </cell>
          <cell r="C19" t="str">
            <v>Identificar, formular y resolver problemas de ingeniería aplicando los principios de las ciencias básicas en ingeniería.</v>
          </cell>
        </row>
        <row r="20">
          <cell r="A20" t="str">
            <v>Ing. Sistemas Computacionales</v>
          </cell>
          <cell r="B20" t="str">
            <v>EVALUACION DE PROYECTOS DE INGENIERIA DE SOFTWARE</v>
          </cell>
          <cell r="C20" t="str">
            <v>Trabajar efectivamente en equipos que establecen metas, planean tareas, cumplen fechas límite y analizan riesgos e incertidumbre.</v>
          </cell>
        </row>
        <row r="21">
          <cell r="A21" t="str">
            <v>Ing. Sistemas Computacionales</v>
          </cell>
          <cell r="B21" t="str">
            <v>FUNDAMENTOS DE BASE DE DATOS</v>
          </cell>
          <cell r="C21" t="str">
            <v>Identificar, formular y resolver problemas de ingeniería aplicando los principios de las ciencias básicas en ingeniería.</v>
          </cell>
        </row>
        <row r="22">
          <cell r="A22" t="str">
            <v>Ing. Sistemas Computacionales</v>
          </cell>
          <cell r="B22" t="str">
            <v>INGENIERIA DE SOFTWARE</v>
          </cell>
          <cell r="C22" t="str">
            <v>Aplicar, analizar y sintetizar procesos de diseño de ingeniería que resulten en proyectos que cumplen las necesidades especificadas.</v>
          </cell>
        </row>
        <row r="23">
          <cell r="A23" t="str">
            <v>Ing. Sistemas Computacionales</v>
          </cell>
          <cell r="B23" t="str">
            <v>INGENIERIA DE SOFTWARE</v>
          </cell>
          <cell r="C23" t="str">
            <v>Identificar, formular y resolver problemas de ingeniería aplicando los principios de las ciencias básicas en ingeniería.</v>
          </cell>
        </row>
        <row r="24">
          <cell r="A24" t="str">
            <v>Ing. Sistemas Computacionales</v>
          </cell>
          <cell r="B24" t="str">
            <v>INGENIERIA DE SOFTWARE</v>
          </cell>
          <cell r="C24" t="str">
            <v>Trabajar efectivamente en equipos que establecen metas, planean tareas, cumplen fechas límite y analizan riesgos e incertidumbre.</v>
          </cell>
        </row>
        <row r="25">
          <cell r="A25" t="str">
            <v>Ing. Sistemas Computacionales</v>
          </cell>
          <cell r="B25" t="str">
            <v>INGENIERIA ECONOMICA</v>
          </cell>
          <cell r="C25" t="str">
            <v>Identificar, formular y resolver problemas de ingeniería aplicando los principios de las ciencias básicas en ingeniería.</v>
          </cell>
        </row>
        <row r="26">
          <cell r="A26" t="str">
            <v>Ing. Sistemas Computacionales</v>
          </cell>
          <cell r="B26" t="str">
            <v>INGLES INICIAL AVANZADO</v>
          </cell>
          <cell r="C26" t="str">
            <v>Comunicarse efectivamente con diferentes audiencias.</v>
          </cell>
        </row>
        <row r="27">
          <cell r="A27" t="str">
            <v>Ing. Sistemas Computacionales</v>
          </cell>
          <cell r="B27" t="str">
            <v>INVESTIGACION DE OPERACIONES</v>
          </cell>
          <cell r="C27" t="str">
            <v>Aplicar, analizar y sintetizar procesos de diseño de ingeniería que resulten en proyectos que cumplen las necesidades especificadas.</v>
          </cell>
        </row>
        <row r="28">
          <cell r="A28" t="str">
            <v>Ing. Sistemas Computacionales</v>
          </cell>
          <cell r="B28" t="str">
            <v>INVESTIGACION DE OPERACIONES</v>
          </cell>
          <cell r="C28" t="str">
            <v>Desarrollar y conducir una experimentación adecuada; analizar e interpretar datos y utilizar el juicio ingenieril para establecer conclusiones.</v>
          </cell>
        </row>
        <row r="29">
          <cell r="A29" t="str">
            <v>Ing. Sistemas Computacionales</v>
          </cell>
          <cell r="B29" t="str">
            <v>INVESTIGACION DE OPERACIONES</v>
          </cell>
          <cell r="C29" t="str">
            <v>Identificar, formular y resolver problemas de ingeniería aplicando los principios de las ciencias básicas en ingeniería.</v>
          </cell>
        </row>
        <row r="30">
          <cell r="A30" t="str">
            <v>Ing. Sistemas Computacionales</v>
          </cell>
          <cell r="B30" t="str">
            <v>LENGUAJES DE PROGRAMACION</v>
          </cell>
          <cell r="C30" t="str">
            <v>Actualización. Reconocer la necesidad permanente de conocimiento adicional y tener la habilidad para localizar, evaluar, integrar y aplicar este conocimiento adecuadamente.</v>
          </cell>
        </row>
        <row r="31">
          <cell r="A31" t="str">
            <v>Ing. Sistemas Computacionales</v>
          </cell>
          <cell r="B31" t="str">
            <v>LENGUAJES DE PROGRAMACION</v>
          </cell>
          <cell r="C31" t="str">
            <v>Aplicar, analizar y sintetizar procesos de diseño de ingeniería que resulten en proyectos que cumplen las necesidades especificadas.</v>
          </cell>
        </row>
        <row r="32">
          <cell r="A32" t="str">
            <v>Ing. Sistemas Computacionales</v>
          </cell>
          <cell r="B32" t="str">
            <v>LENGUAJES DE PROGRAMACION</v>
          </cell>
          <cell r="C32" t="str">
            <v>Identificar, formular y resolver problemas de ingeniería aplicando los principios de las ciencias básicas en ingeniería.</v>
          </cell>
        </row>
        <row r="33">
          <cell r="A33" t="str">
            <v>Ing. Sistemas Computacionales</v>
          </cell>
          <cell r="B33" t="str">
            <v>MEDIO AMBIENTE Y DESARROLLO SUSTENTABLE</v>
          </cell>
          <cell r="C33" t="str">
            <v>Identificar, formular y resolver problemas de ingeniería aplicando los principios de las ciencias básicas en ingeniería.</v>
          </cell>
        </row>
        <row r="34">
          <cell r="A34" t="str">
            <v>Ing. Sistemas Computacionales</v>
          </cell>
          <cell r="B34" t="str">
            <v>MEDIO AMBIENTE Y DESARROLLO SUSTENTABLE</v>
          </cell>
          <cell r="C34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35">
          <cell r="A35" t="str">
            <v>Ing. Sistemas Computacionales</v>
          </cell>
          <cell r="B35" t="str">
            <v>METODOS DE INVESTIGACION</v>
          </cell>
          <cell r="C35" t="str">
            <v>Comunicarse efectivamente con diferentes audiencias.</v>
          </cell>
        </row>
        <row r="36">
          <cell r="A36" t="str">
            <v>Ing. Sistemas Computacionales</v>
          </cell>
          <cell r="B36" t="str">
            <v>METODOS NUMERICOS</v>
          </cell>
          <cell r="C36" t="str">
            <v>Identificar, formular y resolver problemas de ingeniería aplicando los principios de las ciencias básicas en ingeniería.</v>
          </cell>
        </row>
        <row r="37">
          <cell r="A37" t="str">
            <v>Ing. Sistemas Computacionales</v>
          </cell>
          <cell r="B37" t="str">
            <v>OPTATIVA DE CIENCIAS DE INGENIERIA (TEMAS SELECTOS DE AUTOMATIZACION Y CONTROL)</v>
          </cell>
          <cell r="C37" t="str">
            <v>Aplicar, analizar y sintetizar procesos de diseño de ingeniería que resulten en proyectos que cumplen las necesidades especificadas.</v>
          </cell>
        </row>
        <row r="38">
          <cell r="A38" t="str">
            <v>Ing. Sistemas Computacionales</v>
          </cell>
          <cell r="B38" t="str">
            <v>OPTATIVA DE CIENCIAS DE INGENIERIA (TEMAS SELECTOS DE AUTOMATIZACION Y CONTROL)</v>
          </cell>
          <cell r="C38" t="str">
            <v>Identificar, formular y resolver problemas de ingeniería aplicando los principios de las ciencias básicas en ingeniería.</v>
          </cell>
        </row>
        <row r="39">
          <cell r="A39" t="str">
            <v>Ing. Sistemas Computacionales</v>
          </cell>
          <cell r="B39" t="str">
            <v>PROBABILIDAD Y ESTADISTICA</v>
          </cell>
          <cell r="C39" t="str">
            <v>Aplicar, analizar y sintetizar procesos de diseño de ingeniería que resulten en proyectos que cumplen las necesidades especificadas.</v>
          </cell>
        </row>
        <row r="40">
          <cell r="A40" t="str">
            <v>Ing. Sistemas Computacionales</v>
          </cell>
          <cell r="B40" t="str">
            <v>PROBABILIDAD Y ESTADISTICA</v>
          </cell>
          <cell r="C40" t="str">
            <v>Identificar, formular y resolver problemas de ingeniería aplicando los principios de las ciencias básicas en ingeniería.</v>
          </cell>
        </row>
        <row r="41">
          <cell r="A41" t="str">
            <v>Ing. Sistemas Computacionales</v>
          </cell>
          <cell r="B41" t="str">
            <v>PROFESION Y VALORES</v>
          </cell>
          <cell r="C41" t="str">
            <v>Trabajar efectivamente en equipos que establecen metas, planean tareas, cumplen fechas límite y analizan riesgos e incertidumbre.</v>
          </cell>
        </row>
        <row r="42">
          <cell r="A42" t="str">
            <v>Ing. Sistemas Computacionales</v>
          </cell>
          <cell r="B42" t="str">
            <v>PROGRAMACION AVANZADA</v>
          </cell>
          <cell r="C42" t="str">
            <v>Aplicar, analizar y sintetizar procesos de diseño de ingeniería que resulten en proyectos que cumplen las necesidades especificadas.</v>
          </cell>
        </row>
        <row r="43">
          <cell r="A43" t="str">
            <v>Ing. Sistemas Computacionales</v>
          </cell>
          <cell r="B43" t="str">
            <v>PROGRAMACION AVANZADA</v>
          </cell>
          <cell r="C43" t="str">
            <v>Identificar, formular y resolver problemas de ingeniería aplicando los principios de las ciencias básicas en ingeniería.</v>
          </cell>
        </row>
        <row r="44">
          <cell r="A44" t="str">
            <v>Ing. Sistemas Computacionales</v>
          </cell>
          <cell r="B44" t="str">
            <v>PROGRAMACION DE INTERFACES Y PUERTOS</v>
          </cell>
          <cell r="C44" t="str">
            <v>Aplicar, analizar y sintetizar procesos de diseño de ingeniería que resulten en proyectos que cumplen las necesidades especificadas.</v>
          </cell>
        </row>
        <row r="45">
          <cell r="A45" t="str">
            <v>Ing. Sistemas Computacionales</v>
          </cell>
          <cell r="B45" t="str">
            <v>PROGRAMACION DE INTERFACES Y PUERTOS</v>
          </cell>
          <cell r="C45" t="str">
            <v>Identificar, formular y resolver problemas de ingeniería aplicando los principios de las ciencias básicas en ingeniería.</v>
          </cell>
        </row>
        <row r="46">
          <cell r="A46" t="str">
            <v>Ing. Sistemas Computacionales</v>
          </cell>
          <cell r="B46" t="str">
            <v>PROGRAMACION DE MICROPROCESADORES</v>
          </cell>
          <cell r="C46" t="str">
            <v>Aplicar, analizar y sintetizar procesos de diseño de ingeniería que resulten en proyectos que cumplen las necesidades especificadas.</v>
          </cell>
        </row>
        <row r="47">
          <cell r="A47" t="str">
            <v>Ing. Sistemas Computacionales</v>
          </cell>
          <cell r="B47" t="str">
            <v>PROGRAMACION DE MICROPROCESADORES</v>
          </cell>
          <cell r="C47" t="str">
            <v>Identificar, formular y resolver problemas de ingeniería aplicando los principios de las ciencias básicas en ingeniería.</v>
          </cell>
        </row>
        <row r="48">
          <cell r="A48" t="str">
            <v>Ing. Sistemas Computacionales</v>
          </cell>
          <cell r="B48" t="str">
            <v>PROGRAMACION ORIENTADA A OBJETOS</v>
          </cell>
          <cell r="C48" t="str">
            <v>Aplicar, analizar y sintetizar procesos de diseño de ingeniería que resulten en proyectos que cumplen las necesidades especificadas.</v>
          </cell>
        </row>
        <row r="49">
          <cell r="A49" t="str">
            <v>Ing. Sistemas Computacionales</v>
          </cell>
          <cell r="B49" t="str">
            <v>REDES DE AREA AMPLIA</v>
          </cell>
          <cell r="C49" t="str">
            <v>Desarrollar y conducir una experimentación adecuada; analizar e interpretar datos y utilizar el juicio ingenieril para establecer conclusiones.</v>
          </cell>
        </row>
        <row r="50">
          <cell r="A50" t="str">
            <v>Ing. Sistemas Computacionales</v>
          </cell>
          <cell r="B50" t="str">
            <v>REDES DE AREA LOCAL</v>
          </cell>
          <cell r="C50" t="str">
            <v>Identificar, formular y resolver problemas de ingeniería aplicando los principios de las ciencias básicas en ingeniería.</v>
          </cell>
        </row>
        <row r="51">
          <cell r="A51" t="str">
            <v>Ing. Sistemas Computacionales</v>
          </cell>
          <cell r="B51" t="str">
            <v>REDES DE AREA LOCAL</v>
          </cell>
          <cell r="C51" t="str">
            <v>Aplicar, analizar y sintetizar procesos de diseño de ingeniería que resulten en proyectos que cumplen las necesidades especificadas.</v>
          </cell>
        </row>
        <row r="52">
          <cell r="A52" t="str">
            <v>Ing. Sistemas Computacionales</v>
          </cell>
          <cell r="B52" t="str">
            <v>SIMULACION</v>
          </cell>
          <cell r="C52" t="str">
            <v>Desarrollar y conducir una experimentación adecuada; analizar e interpretar datos y utilizar el juicio ingenieril para establecer conclusiones.</v>
          </cell>
        </row>
        <row r="53">
          <cell r="A53" t="str">
            <v>Ing. Sistemas Computacionales</v>
          </cell>
          <cell r="B53" t="str">
            <v>SIMULACION</v>
          </cell>
          <cell r="C53" t="str">
            <v>Identificar, formular y resolver problemas de ingeniería aplicando los principios de las ciencias básicas en ingeniería.</v>
          </cell>
        </row>
        <row r="54">
          <cell r="A54" t="str">
            <v>Ing. Sistemas Computacionales</v>
          </cell>
          <cell r="B54" t="str">
            <v>SISTEMAS OPERATIVOS</v>
          </cell>
          <cell r="C54" t="str">
            <v>Actualización. Reconocer la necesidad permanente de conocimiento adicional y tener la habilidad para localizar, evaluar, integrar y aplicar este conocimiento adecuadamente.</v>
          </cell>
        </row>
        <row r="55">
          <cell r="A55" t="str">
            <v>Ing. Sistemas Computacionales</v>
          </cell>
          <cell r="B55" t="str">
            <v>SISTEMAS OPERATIVOS</v>
          </cell>
          <cell r="C55" t="str">
            <v>Desarrollar y conducir una experimentación adecuada; analizar e interpretar datos y utilizar el juicio ingenieril para establecer conclusiones.</v>
          </cell>
        </row>
        <row r="56">
          <cell r="A56" t="str">
            <v>Ing. Sistemas Computacionales</v>
          </cell>
          <cell r="B56" t="str">
            <v>SISTEMAS OPERATIVOS</v>
          </cell>
          <cell r="C56" t="str">
            <v>Identificar, formular y resolver problemas de ingeniería aplicando los principios de las ciencias básicas en ingeniería.</v>
          </cell>
        </row>
        <row r="57">
          <cell r="A57" t="str">
            <v>Ing. Sistemas Computacionales</v>
          </cell>
          <cell r="B57" t="str">
            <v>SISTEMAS OPERATIVOS DE RED</v>
          </cell>
          <cell r="C57" t="str">
            <v>Actualización. Reconocer la necesidad permanente de conocimiento adicional y tener la habilidad para localizar, evaluar, integrar y aplicar este conocimiento adecuadamente.</v>
          </cell>
        </row>
        <row r="58">
          <cell r="A58" t="str">
            <v>Ing. Sistemas Computacionales</v>
          </cell>
          <cell r="B58" t="str">
            <v>SISTEMAS OPERATIVOS DE RED</v>
          </cell>
          <cell r="C58" t="str">
            <v>Desarrollar y conducir una experimentación adecuada; analizar e interpretar datos y utilizar el juicio ingenieril para establecer conclusiones.</v>
          </cell>
        </row>
        <row r="59">
          <cell r="A59" t="str">
            <v>Ing. Sistemas Computacionales</v>
          </cell>
          <cell r="B59" t="str">
            <v>TEMAS ESPECIALES DE INTERACCION HOMBRE-MAQUINA</v>
          </cell>
          <cell r="C59" t="str">
            <v>Identificar, formular y resolver problemas de ingeniería aplicando los principios de las ciencias básicas en ingeniería.</v>
          </cell>
        </row>
        <row r="60">
          <cell r="A60" t="str">
            <v>Ing. Sistemas Computacionales</v>
          </cell>
          <cell r="B60" t="str">
            <v>TERMODINAMICA</v>
          </cell>
          <cell r="C60" t="str">
            <v>Identificar, formular y resolver problemas de ingeniería aplicando los principios de las ciencias básicas en ingeniería.</v>
          </cell>
        </row>
        <row r="61">
          <cell r="A61" t="str">
            <v>Ing. Sistemas Computacionales</v>
          </cell>
          <cell r="B61" t="str">
            <v>TOPICOS DE PROGRAMACION AVANZADA</v>
          </cell>
          <cell r="C61" t="str">
            <v>Aplicar, analizar y sintetizar procesos de diseño de ingeniería que resulten en proyectos que cumplen las necesidades especificadas.</v>
          </cell>
        </row>
      </sheetData>
      <sheetData sheetId="9"/>
      <sheetData sheetId="10">
        <row r="2">
          <cell r="C2" t="e">
            <v>#VALUE!</v>
          </cell>
        </row>
        <row r="3">
          <cell r="C3" t="str">
            <v/>
          </cell>
        </row>
        <row r="4">
          <cell r="C4" t="str">
            <v/>
          </cell>
        </row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0">
          <cell r="C10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/>
          </cell>
        </row>
        <row r="15">
          <cell r="C15" t="str">
            <v/>
          </cell>
        </row>
        <row r="16">
          <cell r="C16" t="str">
            <v/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9850-41AD-48C7-BCD9-C0B76252A389}">
  <sheetPr>
    <pageSetUpPr fitToPage="1"/>
  </sheetPr>
  <dimension ref="A1:G30"/>
  <sheetViews>
    <sheetView tabSelected="1" zoomScaleNormal="100" workbookViewId="0">
      <selection activeCell="J6" sqref="J6"/>
    </sheetView>
  </sheetViews>
  <sheetFormatPr baseColWidth="10" defaultColWidth="11.42578125" defaultRowHeight="15.75" x14ac:dyDescent="0.25"/>
  <cols>
    <col min="1" max="1" customWidth="true" style="66" width="6.140625"/>
    <col min="2" max="2" customWidth="true" style="66" width="16.140625"/>
    <col min="3" max="3" customWidth="true" style="66" width="33.5703125"/>
    <col min="4" max="4" customWidth="true" style="66" width="21.140625"/>
    <col min="5" max="6" customWidth="true" style="66" width="9.0"/>
    <col min="7" max="7" customWidth="true" style="66" width="33.85546875"/>
    <col min="8" max="16384" style="66" width="11.42578125"/>
  </cols>
  <sheetData>
    <row r="1" spans="1:7" s="66" customFormat="1" ht="60.75" customHeight="1" x14ac:dyDescent="0.25">
      <c r="A1" s="113" t="s">
        <v>35</v>
      </c>
      <c r="B1" s="113"/>
      <c r="C1" s="113"/>
      <c r="D1" s="113"/>
      <c r="E1" s="113"/>
      <c r="F1" s="113"/>
      <c r="G1" s="113"/>
    </row>
    <row r="2" spans="1:7" s="66" customFormat="1" x14ac:dyDescent="0.25">
      <c r="A2" s="106" t="s">
        <v>1</v>
      </c>
      <c r="B2" s="106" t="s">
        <v>44</v>
      </c>
      <c r="C2" s="112" t="str">
        <f>[1]RubricaProducto!E5</f>
        <v>Ing. Sistemas Computacionales</v>
      </c>
      <c r="D2" s="112"/>
      <c r="E2" s="112"/>
      <c r="F2" s="112"/>
      <c r="G2" s="112"/>
    </row>
    <row r="3" spans="1:7" s="66" customFormat="1" ht="27.75" customHeight="1" x14ac:dyDescent="0.25">
      <c r="A3" s="106" t="s">
        <v>4</v>
      </c>
      <c r="B3" s="106" t="s">
        <v>45</v>
      </c>
      <c r="C3" s="111">
        <f>[1]RubricaProducto!E6</f>
        <v>0</v>
      </c>
      <c r="D3" s="111"/>
      <c r="E3" s="111"/>
      <c r="F3" s="110" t="s">
        <v>34</v>
      </c>
      <c r="G3" s="109" t="s">
        <v>33</v>
      </c>
    </row>
    <row r="4" spans="1:7" s="66" customFormat="1" x14ac:dyDescent="0.25">
      <c r="A4" s="106" t="s">
        <v>5</v>
      </c>
      <c r="B4" s="106" t="s">
        <v>33</v>
      </c>
      <c r="C4" s="108"/>
      <c r="D4" s="107"/>
      <c r="E4" s="107"/>
      <c r="F4" s="107"/>
      <c r="G4" s="107"/>
    </row>
    <row r="5" spans="1:7" s="66" customFormat="1" x14ac:dyDescent="0.25">
      <c r="A5" s="106" t="s">
        <v>3</v>
      </c>
      <c r="B5" s="106"/>
      <c r="C5" s="105">
        <f>[1]RubricaProducto!M5</f>
        <v>0</v>
      </c>
      <c r="D5" s="104" t="s">
        <v>6</v>
      </c>
      <c r="E5" s="104"/>
      <c r="F5" s="103">
        <f>[1]RubricaProducto!E8</f>
        <v>0</v>
      </c>
      <c r="G5" s="103"/>
    </row>
    <row r="6" spans="1:7" s="66" customFormat="1" ht="32.1" customHeight="1" x14ac:dyDescent="0.25">
      <c r="A6" s="102" t="s">
        <v>8</v>
      </c>
      <c r="B6" s="102"/>
      <c r="C6" s="94">
        <f>[1]RubricaProducto!E9</f>
        <v>0</v>
      </c>
      <c r="D6" s="94"/>
      <c r="E6" s="94"/>
      <c r="F6" s="94"/>
      <c r="G6" s="94"/>
    </row>
    <row r="7" spans="1:7" s="66" customFormat="1" ht="32.1" customHeight="1" x14ac:dyDescent="0.25">
      <c r="A7" s="102" t="s">
        <v>9</v>
      </c>
      <c r="B7" s="102"/>
      <c r="C7" s="101">
        <f>[1]RubricaProducto!E10</f>
        <v>0</v>
      </c>
      <c r="D7" s="101"/>
      <c r="E7" s="101"/>
      <c r="F7" s="101"/>
      <c r="G7" s="101"/>
    </row>
    <row r="8" spans="1:7" s="66" customFormat="1" ht="30.75" customHeight="1" x14ac:dyDescent="0.25">
      <c r="A8" s="100" t="s">
        <v>10</v>
      </c>
      <c r="B8" s="99"/>
      <c r="C8" s="94" t="str">
        <f xml:space="preserve"> IF(  ISBLANK([1]RubricaProducto!E11), " ", [1]RubricaProducto!E11)</f>
        <v xml:space="preserve"> </v>
      </c>
      <c r="D8" s="94"/>
      <c r="E8" s="94"/>
      <c r="F8" s="94"/>
      <c r="G8" s="94"/>
    </row>
    <row r="9" spans="1:7" s="66" customFormat="1" ht="15.95" customHeight="1" x14ac:dyDescent="0.25">
      <c r="A9" s="98"/>
      <c r="B9" s="97"/>
      <c r="C9" s="94" t="str">
        <f xml:space="preserve"> IF(  ISBLANK([1]RubricaProducto!E12), " ", [1]RubricaProducto!E12)</f>
        <v xml:space="preserve"> </v>
      </c>
      <c r="D9" s="94"/>
      <c r="E9" s="94"/>
      <c r="F9" s="94"/>
      <c r="G9" s="94"/>
    </row>
    <row r="10" spans="1:7" s="66" customFormat="1" ht="15.95" customHeight="1" x14ac:dyDescent="0.25">
      <c r="A10" s="98"/>
      <c r="B10" s="97"/>
      <c r="C10" s="94" t="str">
        <f xml:space="preserve"> IF(  ISBLANK([1]RubricaProducto!E13), " ", [1]RubricaProducto!E13)</f>
        <v xml:space="preserve"> </v>
      </c>
      <c r="D10" s="94"/>
      <c r="E10" s="94"/>
      <c r="F10" s="94"/>
      <c r="G10" s="94"/>
    </row>
    <row r="11" spans="1:7" s="66" customFormat="1" ht="15.95" customHeight="1" x14ac:dyDescent="0.25">
      <c r="A11" s="96"/>
      <c r="B11" s="95"/>
      <c r="C11" s="94" t="str">
        <f xml:space="preserve"> IF(  ISBLANK([1]RubricaProducto!E14), " ", [1]RubricaProducto!E14)</f>
        <v xml:space="preserve"> </v>
      </c>
      <c r="D11" s="94"/>
      <c r="E11" s="94"/>
      <c r="F11" s="94"/>
      <c r="G11" s="94"/>
    </row>
    <row r="12" spans="1:7" s="66" customFormat="1" ht="15.95" customHeight="1" x14ac:dyDescent="0.25">
      <c r="A12" s="93"/>
      <c r="B12" s="92"/>
      <c r="C12" s="92"/>
      <c r="D12" s="92"/>
      <c r="E12" s="92"/>
      <c r="F12" s="92"/>
      <c r="G12" s="91"/>
    </row>
    <row r="13" spans="1:7" s="66" customFormat="1" ht="15.95" customHeight="1" x14ac:dyDescent="0.25">
      <c r="A13" s="93"/>
      <c r="B13" s="92"/>
      <c r="C13" s="92"/>
      <c r="D13" s="92"/>
      <c r="E13" s="92"/>
      <c r="F13" s="92"/>
      <c r="G13" s="91"/>
    </row>
    <row r="14" spans="1:7" s="66" customFormat="1" ht="15.95" customHeight="1" x14ac:dyDescent="0.25">
      <c r="A14" s="93"/>
      <c r="B14" s="92"/>
      <c r="C14" s="92"/>
      <c r="D14" s="92"/>
      <c r="E14" s="92"/>
      <c r="F14" s="92"/>
      <c r="G14" s="91"/>
    </row>
    <row r="15" spans="1:7" s="66" customFormat="1" ht="15.95" customHeight="1" x14ac:dyDescent="0.25">
      <c r="A15" s="93"/>
      <c r="B15" s="92"/>
      <c r="C15" s="92"/>
      <c r="D15" s="92"/>
      <c r="E15" s="92"/>
      <c r="F15" s="92"/>
      <c r="G15" s="91"/>
    </row>
    <row r="16" spans="1:7" s="66" customFormat="1" ht="15.95" customHeight="1" x14ac:dyDescent="0.25">
      <c r="A16" s="93"/>
      <c r="B16" s="92"/>
      <c r="C16" s="92"/>
      <c r="D16" s="92"/>
      <c r="E16" s="92"/>
      <c r="F16" s="92"/>
      <c r="G16" s="91"/>
    </row>
    <row r="17" spans="1:7" s="66" customFormat="1" ht="17.100000000000001" customHeight="1" x14ac:dyDescent="0.25">
      <c r="A17" s="90" t="s">
        <v>32</v>
      </c>
      <c r="B17" s="89"/>
      <c r="C17" s="89"/>
      <c r="D17" s="89"/>
      <c r="E17" s="88"/>
      <c r="F17" s="87" t="s">
        <v>31</v>
      </c>
      <c r="G17" s="78" t="s">
        <v>30</v>
      </c>
    </row>
    <row r="18" spans="1:7" s="66" customFormat="1" ht="36" customHeight="1" x14ac:dyDescent="0.25">
      <c r="A18" s="83">
        <v>1</v>
      </c>
      <c r="B18" s="86"/>
      <c r="C18" s="85"/>
      <c r="D18" s="85"/>
      <c r="E18" s="84"/>
      <c r="F18" s="79"/>
      <c r="G18" s="78"/>
    </row>
    <row r="19" spans="1:7" s="66" customFormat="1" ht="50.1" customHeight="1" x14ac:dyDescent="0.25">
      <c r="A19" s="83">
        <v>2</v>
      </c>
      <c r="B19" s="86"/>
      <c r="C19" s="85"/>
      <c r="D19" s="85"/>
      <c r="E19" s="84"/>
      <c r="F19" s="79"/>
      <c r="G19" s="78"/>
    </row>
    <row r="20" spans="1:7" s="66" customFormat="1" ht="50.1" customHeight="1" x14ac:dyDescent="0.25">
      <c r="A20" s="83">
        <v>3</v>
      </c>
      <c r="B20" s="86"/>
      <c r="C20" s="85"/>
      <c r="D20" s="85"/>
      <c r="E20" s="84"/>
      <c r="F20" s="79"/>
      <c r="G20" s="78"/>
    </row>
    <row r="21" spans="1:7" s="66" customFormat="1" ht="36" customHeight="1" x14ac:dyDescent="0.25">
      <c r="A21" s="83">
        <v>4</v>
      </c>
      <c r="B21" s="82"/>
      <c r="C21" s="81"/>
      <c r="D21" s="81"/>
      <c r="E21" s="80"/>
      <c r="F21" s="79"/>
      <c r="G21" s="78"/>
    </row>
    <row r="22" spans="1:7" s="66" customFormat="1" ht="36" customHeight="1" x14ac:dyDescent="0.25">
      <c r="A22" s="83">
        <v>5</v>
      </c>
      <c r="B22" s="82"/>
      <c r="C22" s="81"/>
      <c r="D22" s="81"/>
      <c r="E22" s="80"/>
      <c r="F22" s="79"/>
      <c r="G22" s="78"/>
    </row>
    <row r="23" spans="1:7" s="66" customFormat="1" ht="36" customHeight="1" x14ac:dyDescent="0.25">
      <c r="A23" s="83">
        <v>6</v>
      </c>
      <c r="B23" s="82"/>
      <c r="C23" s="81"/>
      <c r="D23" s="81"/>
      <c r="E23" s="80"/>
      <c r="F23" s="79"/>
      <c r="G23" s="78"/>
    </row>
    <row r="24" spans="1:7" s="66" customFormat="1" ht="36" customHeight="1" x14ac:dyDescent="0.25">
      <c r="A24" s="77" t="s">
        <v>29</v>
      </c>
      <c r="B24" s="76"/>
      <c r="C24" s="76"/>
      <c r="D24" s="76"/>
      <c r="E24" s="75"/>
      <c r="F24" s="74" t="e">
        <f>AVERAGE(F18:G22)</f>
        <v>#DIV/0!</v>
      </c>
      <c r="G24" s="73"/>
    </row>
    <row r="25" spans="1:7" s="66" customFormat="1" x14ac:dyDescent="0.25">
      <c r="A25" s="2"/>
      <c r="B25" s="2"/>
      <c r="C25" s="2"/>
      <c r="D25" s="2"/>
      <c r="E25" s="2"/>
      <c r="F25" s="2"/>
      <c r="G25" s="2"/>
    </row>
    <row r="26" spans="1:7" s="66" customFormat="1" x14ac:dyDescent="0.25">
      <c r="A26" s="70" t="s">
        <v>28</v>
      </c>
      <c r="B26" s="69"/>
      <c r="C26" s="69"/>
      <c r="D26" s="69"/>
      <c r="E26" s="69"/>
      <c r="F26" s="68"/>
      <c r="G26" s="67" t="s">
        <v>27</v>
      </c>
    </row>
    <row r="27" spans="1:7" s="66" customFormat="1" ht="17.25" customHeight="1" x14ac:dyDescent="0.25">
      <c r="A27" s="70" t="s">
        <v>26</v>
      </c>
      <c r="B27" s="69"/>
      <c r="C27" s="69"/>
      <c r="D27" s="69"/>
      <c r="E27" s="69"/>
      <c r="F27" s="68"/>
      <c r="G27" s="67">
        <v>10</v>
      </c>
    </row>
    <row r="28" spans="1:7" s="66" customFormat="1" x14ac:dyDescent="0.25">
      <c r="A28" s="70" t="s">
        <v>25</v>
      </c>
      <c r="B28" s="69"/>
      <c r="C28" s="69"/>
      <c r="D28" s="69"/>
      <c r="E28" s="69"/>
      <c r="F28" s="68"/>
      <c r="G28" s="72">
        <v>9</v>
      </c>
    </row>
    <row r="29" spans="1:7" s="66" customFormat="1" x14ac:dyDescent="0.25">
      <c r="A29" s="70" t="s">
        <v>24</v>
      </c>
      <c r="B29" s="69"/>
      <c r="C29" s="69"/>
      <c r="D29" s="69"/>
      <c r="E29" s="69"/>
      <c r="F29" s="68"/>
      <c r="G29" s="71" t="s">
        <v>23</v>
      </c>
    </row>
    <row r="30" spans="1:7" s="66" customFormat="1" x14ac:dyDescent="0.25">
      <c r="A30" s="70" t="s">
        <v>22</v>
      </c>
      <c r="B30" s="69"/>
      <c r="C30" s="69"/>
      <c r="D30" s="69"/>
      <c r="E30" s="69"/>
      <c r="F30" s="68"/>
      <c r="G30" s="67" t="s">
        <v>21</v>
      </c>
    </row>
  </sheetData>
  <mergeCells count="37">
    <mergeCell ref="A1:G1"/>
    <mergeCell ref="A2:B2"/>
    <mergeCell ref="C2:G2"/>
    <mergeCell ref="A3:B3"/>
    <mergeCell ref="C3:E3"/>
    <mergeCell ref="A4:B4"/>
    <mergeCell ref="C4:G4"/>
    <mergeCell ref="A5:B5"/>
    <mergeCell ref="D5:E5"/>
    <mergeCell ref="F5:G5"/>
    <mergeCell ref="A6:B6"/>
    <mergeCell ref="C6:G6"/>
    <mergeCell ref="A7:B7"/>
    <mergeCell ref="C7:G7"/>
    <mergeCell ref="A8:B11"/>
    <mergeCell ref="C8:G8"/>
    <mergeCell ref="C9:G9"/>
    <mergeCell ref="C10:G10"/>
    <mergeCell ref="C11:G11"/>
    <mergeCell ref="A12:G12"/>
    <mergeCell ref="A24:E24"/>
    <mergeCell ref="A13:G13"/>
    <mergeCell ref="A14:G14"/>
    <mergeCell ref="A15:G15"/>
    <mergeCell ref="A16:G16"/>
    <mergeCell ref="A17:E17"/>
    <mergeCell ref="B18:E18"/>
    <mergeCell ref="A26:F26"/>
    <mergeCell ref="A27:F27"/>
    <mergeCell ref="A28:F28"/>
    <mergeCell ref="A29:F29"/>
    <mergeCell ref="A30:F30"/>
    <mergeCell ref="B19:E19"/>
    <mergeCell ref="B20:E20"/>
    <mergeCell ref="B21:E21"/>
    <mergeCell ref="B22:E22"/>
    <mergeCell ref="B23:E23"/>
  </mergeCells>
  <pageMargins left="0.7" right="0.7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8EA1-DD11-4BD7-ACE4-8EE827261803}">
  <dimension ref="A3:N30"/>
  <sheetViews>
    <sheetView zoomScale="82" zoomScaleNormal="82" workbookViewId="0">
      <selection activeCell="S13" sqref="S13"/>
    </sheetView>
  </sheetViews>
  <sheetFormatPr baseColWidth="10" defaultColWidth="7.5703125" defaultRowHeight="15" x14ac:dyDescent="0.25"/>
  <cols>
    <col min="1" max="1" customWidth="true" width="3.0"/>
    <col min="2" max="2" customWidth="true" width="7.5703125"/>
    <col min="7" max="7" customWidth="true" width="11.7109375"/>
    <col min="8" max="8" customWidth="true" width="8.85546875"/>
    <col min="9" max="9" customWidth="true" width="12.140625"/>
    <col min="10" max="10" customWidth="true" width="8.42578125"/>
    <col min="11" max="11" customWidth="true" width="10.85546875"/>
    <col min="12" max="12" customWidth="true" width="8.42578125"/>
    <col min="13" max="13" customWidth="true" width="12.42578125"/>
  </cols>
  <sheetData>
    <row r="3" spans="1:14" ht="18.75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spans="1:14" ht="16.5" thickBot="1" x14ac:dyDescent="0.3">
      <c r="A5" s="2"/>
      <c r="B5" s="3" t="s">
        <v>1</v>
      </c>
      <c r="C5" s="4"/>
      <c r="D5" s="5"/>
      <c r="E5" s="6" t="s">
        <v>2</v>
      </c>
      <c r="F5" s="7"/>
      <c r="G5" s="7"/>
      <c r="H5" s="7"/>
      <c r="I5" s="7"/>
      <c r="J5" s="7"/>
      <c r="K5" s="4" t="s">
        <v>3</v>
      </c>
      <c r="L5" s="4"/>
      <c r="M5" s="8"/>
      <c r="N5" s="9"/>
    </row>
    <row r="6" spans="1:14" ht="17.25" thickTop="1" thickBot="1" x14ac:dyDescent="0.3">
      <c r="A6" s="2"/>
      <c r="B6" s="10" t="s">
        <v>4</v>
      </c>
      <c r="C6" s="11"/>
      <c r="D6" s="12"/>
      <c r="E6" s="13"/>
      <c r="F6" s="14"/>
      <c r="G6" s="14"/>
      <c r="H6" s="14"/>
      <c r="I6" s="14"/>
      <c r="J6" s="14"/>
      <c r="K6" s="14"/>
      <c r="L6" s="14"/>
      <c r="M6" s="14"/>
      <c r="N6" s="14"/>
    </row>
    <row r="7" spans="1:14" ht="17.25" thickTop="1" thickBot="1" x14ac:dyDescent="0.3">
      <c r="A7" s="2"/>
      <c r="B7" s="15" t="s">
        <v>5</v>
      </c>
      <c r="C7" s="16"/>
      <c r="D7" s="17"/>
      <c r="E7" s="18"/>
      <c r="F7" s="19"/>
      <c r="G7" s="19"/>
      <c r="H7" s="19"/>
      <c r="I7" s="19"/>
      <c r="J7" s="19"/>
      <c r="K7" s="19"/>
      <c r="L7" s="19"/>
      <c r="M7" s="19"/>
      <c r="N7" s="20"/>
    </row>
    <row r="8" spans="1:14" ht="16.5" thickTop="1" x14ac:dyDescent="0.25">
      <c r="A8" s="2"/>
      <c r="B8" s="10" t="s">
        <v>6</v>
      </c>
      <c r="C8" s="11"/>
      <c r="D8" s="12"/>
      <c r="E8" s="21"/>
      <c r="F8" s="22"/>
      <c r="G8" s="22"/>
      <c r="H8" s="22"/>
      <c r="I8" s="22"/>
      <c r="J8" s="23" t="s">
        <v>7</v>
      </c>
      <c r="K8" s="23"/>
      <c r="L8" s="22"/>
      <c r="M8" s="22"/>
      <c r="N8" s="22"/>
    </row>
    <row r="9" spans="1:14" ht="45.75" customHeight="1" x14ac:dyDescent="0.25">
      <c r="A9" s="24"/>
      <c r="B9" s="25" t="s">
        <v>8</v>
      </c>
      <c r="C9" s="26"/>
      <c r="D9" s="27"/>
      <c r="E9" s="28"/>
      <c r="F9" s="29"/>
      <c r="G9" s="29"/>
      <c r="H9" s="29"/>
      <c r="I9" s="29"/>
      <c r="J9" s="29"/>
      <c r="K9" s="29"/>
      <c r="L9" s="29"/>
      <c r="M9" s="29"/>
      <c r="N9" s="30"/>
    </row>
    <row r="10" spans="1:14" ht="39.75" customHeight="1" x14ac:dyDescent="0.25">
      <c r="A10" s="24"/>
      <c r="B10" s="31" t="s">
        <v>9</v>
      </c>
      <c r="C10" s="32"/>
      <c r="D10" s="33"/>
      <c r="E10" s="34"/>
      <c r="F10" s="35"/>
      <c r="G10" s="35"/>
      <c r="H10" s="35"/>
      <c r="I10" s="35"/>
      <c r="J10" s="35"/>
      <c r="K10" s="35"/>
      <c r="L10" s="35"/>
      <c r="M10" s="35"/>
      <c r="N10" s="36"/>
    </row>
    <row r="11" spans="1:14" ht="26.25" customHeight="1" x14ac:dyDescent="0.25">
      <c r="A11" s="24"/>
      <c r="B11" s="25" t="s">
        <v>10</v>
      </c>
      <c r="C11" s="26"/>
      <c r="D11" s="27"/>
      <c r="E11" s="37"/>
      <c r="F11" s="38"/>
      <c r="G11" s="38"/>
      <c r="H11" s="38"/>
      <c r="I11" s="38"/>
      <c r="J11" s="38"/>
      <c r="K11" s="38"/>
      <c r="L11" s="38"/>
      <c r="M11" s="38"/>
      <c r="N11" s="39"/>
    </row>
    <row r="12" spans="1:14" ht="30" customHeight="1" x14ac:dyDescent="0.25">
      <c r="B12" s="25"/>
      <c r="C12" s="26"/>
      <c r="D12" s="27"/>
      <c r="E12" s="37"/>
      <c r="F12" s="38"/>
      <c r="G12" s="38"/>
      <c r="H12" s="38"/>
      <c r="I12" s="38"/>
      <c r="J12" s="38"/>
      <c r="K12" s="38"/>
      <c r="L12" s="38"/>
      <c r="M12" s="38"/>
      <c r="N12" s="39"/>
    </row>
    <row r="13" spans="1:14" ht="30" customHeight="1" x14ac:dyDescent="0.25">
      <c r="B13" s="25"/>
      <c r="C13" s="26"/>
      <c r="D13" s="27"/>
      <c r="E13" s="37"/>
      <c r="F13" s="38"/>
      <c r="G13" s="38"/>
      <c r="H13" s="38"/>
      <c r="I13" s="38"/>
      <c r="J13" s="38"/>
      <c r="K13" s="38"/>
      <c r="L13" s="38"/>
      <c r="M13" s="38"/>
      <c r="N13" s="39"/>
    </row>
    <row r="14" spans="1:14" ht="32.25" customHeight="1" x14ac:dyDescent="0.25">
      <c r="B14" s="40"/>
      <c r="C14" s="41"/>
      <c r="D14" s="42"/>
      <c r="E14" s="43"/>
      <c r="F14" s="44"/>
      <c r="G14" s="44"/>
      <c r="H14" s="44"/>
      <c r="I14" s="44"/>
      <c r="J14" s="44"/>
      <c r="K14" s="44"/>
      <c r="L14" s="44"/>
      <c r="M14" s="44"/>
      <c r="N14" s="45"/>
    </row>
    <row r="15" spans="1:14" ht="45.75" customHeight="1" x14ac:dyDescent="0.25">
      <c r="B15" s="46" t="s">
        <v>11</v>
      </c>
      <c r="C15" s="47"/>
      <c r="D15" s="47"/>
      <c r="E15" s="47"/>
      <c r="F15" s="48"/>
      <c r="G15" s="49" t="s">
        <v>12</v>
      </c>
      <c r="H15" s="50"/>
      <c r="I15" s="49" t="s">
        <v>13</v>
      </c>
      <c r="J15" s="50"/>
      <c r="K15" s="49" t="s">
        <v>14</v>
      </c>
      <c r="L15" s="50"/>
      <c r="M15" s="49" t="s">
        <v>15</v>
      </c>
      <c r="N15" s="50"/>
    </row>
    <row r="16" spans="1:14" ht="88.5" customHeight="1" x14ac:dyDescent="0.25">
      <c r="B16" s="51"/>
      <c r="C16" s="52"/>
      <c r="D16" s="52"/>
      <c r="E16" s="52"/>
      <c r="F16" s="53"/>
      <c r="G16" s="54"/>
      <c r="H16" s="55"/>
      <c r="I16" s="54"/>
      <c r="J16" s="55"/>
      <c r="K16" s="54"/>
      <c r="L16" s="55"/>
      <c r="M16" s="54"/>
      <c r="N16" s="55"/>
    </row>
    <row r="17" spans="2:14" ht="88.5" customHeight="1" x14ac:dyDescent="0.25">
      <c r="B17" s="51"/>
      <c r="C17" s="52"/>
      <c r="D17" s="52"/>
      <c r="E17" s="52"/>
      <c r="F17" s="53"/>
      <c r="G17" s="54"/>
      <c r="H17" s="55"/>
      <c r="I17" s="54"/>
      <c r="J17" s="55"/>
      <c r="K17" s="54"/>
      <c r="L17" s="55"/>
      <c r="M17" s="54"/>
      <c r="N17" s="55"/>
    </row>
    <row r="18" spans="2:14" ht="88.5" customHeight="1" x14ac:dyDescent="0.25">
      <c r="B18" s="51"/>
      <c r="C18" s="52"/>
      <c r="D18" s="52"/>
      <c r="E18" s="52"/>
      <c r="F18" s="53"/>
      <c r="G18" s="54"/>
      <c r="H18" s="55"/>
      <c r="I18" s="54"/>
      <c r="J18" s="55"/>
      <c r="K18" s="54"/>
      <c r="L18" s="55"/>
      <c r="M18" s="54"/>
      <c r="N18" s="55"/>
    </row>
    <row r="19" spans="2:14" ht="96" customHeight="1" x14ac:dyDescent="0.25">
      <c r="B19" s="51"/>
      <c r="C19" s="52"/>
      <c r="D19" s="52"/>
      <c r="E19" s="52"/>
      <c r="F19" s="53"/>
      <c r="G19" s="54"/>
      <c r="H19" s="55"/>
      <c r="I19" s="54"/>
      <c r="J19" s="55"/>
      <c r="K19" s="54"/>
      <c r="L19" s="55"/>
      <c r="M19" s="54"/>
      <c r="N19" s="55"/>
    </row>
    <row r="20" spans="2:14" ht="88.5" customHeight="1" x14ac:dyDescent="0.25">
      <c r="B20" s="51"/>
      <c r="C20" s="52"/>
      <c r="D20" s="52"/>
      <c r="E20" s="52"/>
      <c r="F20" s="53"/>
      <c r="G20" s="54"/>
      <c r="H20" s="55"/>
      <c r="I20" s="54"/>
      <c r="J20" s="55"/>
      <c r="K20" s="54"/>
      <c r="L20" s="55"/>
      <c r="M20" s="54"/>
      <c r="N20" s="55"/>
    </row>
    <row r="21" spans="2:14" ht="91.5" customHeight="1" x14ac:dyDescent="0.25">
      <c r="B21" s="51"/>
      <c r="C21" s="52"/>
      <c r="D21" s="52"/>
      <c r="E21" s="52"/>
      <c r="F21" s="53"/>
      <c r="G21" s="54"/>
      <c r="H21" s="55"/>
      <c r="I21" s="54"/>
      <c r="J21" s="55"/>
      <c r="K21" s="54"/>
      <c r="L21" s="55"/>
      <c r="M21" s="54"/>
      <c r="N21" s="55"/>
    </row>
    <row r="22" spans="2:14" ht="12" customHeight="1" x14ac:dyDescent="0.25">
      <c r="B22" s="56"/>
      <c r="C22" s="56"/>
      <c r="D22" s="56"/>
      <c r="E22" s="56"/>
      <c r="F22" s="57"/>
      <c r="G22" s="58"/>
      <c r="H22" s="58"/>
      <c r="I22" s="58"/>
      <c r="J22" s="58"/>
      <c r="K22" s="59"/>
      <c r="L22" s="59"/>
      <c r="M22" s="59"/>
      <c r="N22" s="59"/>
    </row>
    <row r="23" spans="2:14" x14ac:dyDescent="0.25">
      <c r="B23" s="60" t="s">
        <v>16</v>
      </c>
      <c r="C23" s="60"/>
      <c r="D23" s="60"/>
      <c r="E23" s="60"/>
      <c r="G23" s="61" t="s">
        <v>17</v>
      </c>
      <c r="H23" s="62"/>
      <c r="I23" s="62"/>
      <c r="K23" s="60" t="s">
        <v>18</v>
      </c>
      <c r="L23" s="60"/>
      <c r="M23" s="60"/>
      <c r="N23" s="60"/>
    </row>
    <row r="24" spans="2:14" x14ac:dyDescent="0.25">
      <c r="B24" s="63" t="s">
        <v>19</v>
      </c>
      <c r="C24" s="63"/>
      <c r="D24" s="63"/>
      <c r="E24" s="63"/>
      <c r="F24" s="64"/>
      <c r="K24" s="65" t="s">
        <v>20</v>
      </c>
      <c r="L24" s="65"/>
      <c r="M24" s="65"/>
      <c r="N24" s="65"/>
    </row>
    <row r="30" spans="2:14" x14ac:dyDescent="0.25">
      <c r="B30" t="s" s="0">
        <v>17</v>
      </c>
    </row>
  </sheetData>
  <mergeCells count="61">
    <mergeCell ref="B24:E24"/>
    <mergeCell ref="K24:N24"/>
    <mergeCell ref="B21:F21"/>
    <mergeCell ref="G21:H21"/>
    <mergeCell ref="I21:J21"/>
    <mergeCell ref="K21:L21"/>
    <mergeCell ref="M21:N21"/>
    <mergeCell ref="B23:E23"/>
    <mergeCell ref="K23:N23"/>
    <mergeCell ref="B19:F19"/>
    <mergeCell ref="G19:H19"/>
    <mergeCell ref="I19:J19"/>
    <mergeCell ref="K19:L19"/>
    <mergeCell ref="M19:N19"/>
    <mergeCell ref="B20:F20"/>
    <mergeCell ref="G20:H20"/>
    <mergeCell ref="I20:J20"/>
    <mergeCell ref="K20:L20"/>
    <mergeCell ref="M20:N20"/>
    <mergeCell ref="B17:F17"/>
    <mergeCell ref="G17:H17"/>
    <mergeCell ref="I17:J17"/>
    <mergeCell ref="K17:L17"/>
    <mergeCell ref="M17:N17"/>
    <mergeCell ref="B18:F18"/>
    <mergeCell ref="G18:H18"/>
    <mergeCell ref="I18:J18"/>
    <mergeCell ref="K18:L18"/>
    <mergeCell ref="M18:N18"/>
    <mergeCell ref="B15:F15"/>
    <mergeCell ref="G15:H15"/>
    <mergeCell ref="I15:J15"/>
    <mergeCell ref="K15:L15"/>
    <mergeCell ref="M15:N15"/>
    <mergeCell ref="B16:F16"/>
    <mergeCell ref="G16:H16"/>
    <mergeCell ref="I16:J16"/>
    <mergeCell ref="K16:L16"/>
    <mergeCell ref="M16:N16"/>
    <mergeCell ref="B9:D9"/>
    <mergeCell ref="E9:N9"/>
    <mergeCell ref="B10:D10"/>
    <mergeCell ref="E10:N10"/>
    <mergeCell ref="B11:D14"/>
    <mergeCell ref="E11:N11"/>
    <mergeCell ref="E12:N12"/>
    <mergeCell ref="E13:N13"/>
    <mergeCell ref="E14:N14"/>
    <mergeCell ref="B7:D7"/>
    <mergeCell ref="E7:N7"/>
    <mergeCell ref="B8:D8"/>
    <mergeCell ref="E8:I8"/>
    <mergeCell ref="J8:K8"/>
    <mergeCell ref="L8:N8"/>
    <mergeCell ref="A3:N3"/>
    <mergeCell ref="B5:D5"/>
    <mergeCell ref="E5:J5"/>
    <mergeCell ref="K5:L5"/>
    <mergeCell ref="M5:N5"/>
    <mergeCell ref="B6:D6"/>
    <mergeCell ref="E6:N6"/>
  </mergeCells>
  <pageMargins left="0.31496062992125984" right="0.31496062992125984" top="0.19685039370078741" bottom="0.19685039370078741" header="0.19685039370078741" footer="0.19685039370078741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AFE0-F828-43A1-9AF1-660D9DED198D}">
  <sheetPr>
    <pageSetUpPr fitToPage="1"/>
  </sheetPr>
  <dimension ref="A1:G51"/>
  <sheetViews>
    <sheetView topLeftCell="A37" zoomScaleNormal="100" workbookViewId="0">
      <selection activeCell="C58" sqref="C58"/>
    </sheetView>
  </sheetViews>
  <sheetFormatPr baseColWidth="10" defaultColWidth="11.28515625" defaultRowHeight="15.75" x14ac:dyDescent="0.25"/>
  <cols>
    <col min="1" max="1" customWidth="true" style="66" width="6.140625"/>
    <col min="2" max="2" customWidth="true" style="66" width="16.140625"/>
    <col min="3" max="3" customWidth="true" style="66" width="33.7109375"/>
    <col min="4" max="4" customWidth="true" style="66" width="20.0"/>
    <col min="5" max="5" customWidth="true" style="66" width="23.28515625"/>
    <col min="6" max="6" customWidth="true" style="66" width="18.0"/>
    <col min="7" max="7" customWidth="true" style="66" width="33.85546875"/>
    <col min="8" max="16384" style="66" width="11.28515625"/>
  </cols>
  <sheetData>
    <row r="1" spans="1:7" ht="65.099999999999994" customHeight="1" x14ac:dyDescent="0.25">
      <c r="A1" s="113" t="s">
        <v>36</v>
      </c>
      <c r="B1" s="113"/>
      <c r="C1" s="113"/>
      <c r="D1" s="113"/>
      <c r="E1" s="113"/>
      <c r="F1" s="113"/>
      <c r="G1" s="113"/>
    </row>
    <row r="2" spans="1:7" x14ac:dyDescent="0.25">
      <c r="A2" s="106" t="s">
        <v>1</v>
      </c>
      <c r="B2" s="106"/>
      <c r="C2" s="114" t="str">
        <f>[1]RubricaProducto!E5</f>
        <v>Ing. Sistemas Computacionales</v>
      </c>
      <c r="D2" s="114"/>
      <c r="E2" s="114"/>
      <c r="F2" s="114"/>
      <c r="G2" s="114"/>
    </row>
    <row r="3" spans="1:7" x14ac:dyDescent="0.25">
      <c r="A3" s="106" t="s">
        <v>4</v>
      </c>
      <c r="B3" s="106"/>
      <c r="C3" s="141">
        <f>[1]RubricaProducto!E6</f>
        <v>0</v>
      </c>
      <c r="D3" s="141"/>
      <c r="E3" s="141"/>
      <c r="F3" s="110" t="s">
        <v>34</v>
      </c>
      <c r="G3" s="142" t="s">
        <v>37</v>
      </c>
    </row>
    <row r="4" spans="1:7" x14ac:dyDescent="0.25">
      <c r="A4" s="106" t="s">
        <v>5</v>
      </c>
      <c r="B4" s="106"/>
      <c r="C4" s="115">
        <f>[1]RubricaProducto!E7</f>
        <v>0</v>
      </c>
      <c r="D4" s="115"/>
      <c r="E4" s="115"/>
      <c r="F4" s="115"/>
      <c r="G4" s="115"/>
    </row>
    <row r="5" spans="1:7" x14ac:dyDescent="0.25">
      <c r="A5" s="106" t="s">
        <v>3</v>
      </c>
      <c r="B5" s="106"/>
      <c r="C5" s="116">
        <f>[1]RubricaProducto!M5</f>
        <v>0</v>
      </c>
      <c r="D5" s="117" t="s">
        <v>38</v>
      </c>
      <c r="E5" s="117"/>
      <c r="F5" s="69">
        <f>[1]RubricaProducto!L8</f>
        <v>0</v>
      </c>
      <c r="G5" s="69"/>
    </row>
    <row r="6" spans="1:7" x14ac:dyDescent="0.25">
      <c r="A6" s="118" t="s">
        <v>39</v>
      </c>
      <c r="B6" s="118"/>
      <c r="C6" s="119">
        <f>[1]RubricaProducto!E8</f>
        <v>0</v>
      </c>
      <c r="D6" s="119"/>
      <c r="E6" s="119"/>
      <c r="F6" s="119"/>
      <c r="G6" s="119"/>
    </row>
    <row r="7" spans="1:7" ht="32.1" customHeight="1" x14ac:dyDescent="0.25">
      <c r="A7" s="120" t="s">
        <v>8</v>
      </c>
      <c r="B7" s="120"/>
      <c r="C7" s="143">
        <f>[1]RubricaProducto!E9</f>
        <v>0</v>
      </c>
      <c r="D7" s="144"/>
      <c r="E7" s="144"/>
      <c r="F7" s="144"/>
      <c r="G7" s="144"/>
    </row>
    <row r="8" spans="1:7" ht="32.1" customHeight="1" x14ac:dyDescent="0.25">
      <c r="A8" s="120" t="s">
        <v>9</v>
      </c>
      <c r="B8" s="120"/>
      <c r="C8" s="145">
        <f>[1]RubricaProducto!E10</f>
        <v>0</v>
      </c>
      <c r="D8" s="146"/>
      <c r="E8" s="146"/>
      <c r="F8" s="146"/>
      <c r="G8" s="146"/>
    </row>
    <row r="9" spans="1:7" ht="14.25" customHeight="1" x14ac:dyDescent="0.25">
      <c r="A9" s="121" t="s">
        <v>40</v>
      </c>
      <c r="B9" s="122"/>
      <c r="C9" s="147" t="str">
        <f>IF( ISBLANK([1]ReporteProductoIntegrador!C8), " ", [1]ReporteProductoIntegrador!C8)</f>
        <v xml:space="preserve"> </v>
      </c>
      <c r="D9" s="148"/>
      <c r="E9" s="148"/>
      <c r="F9" s="148"/>
      <c r="G9" s="148"/>
    </row>
    <row r="10" spans="1:7" ht="17.25" customHeight="1" x14ac:dyDescent="0.25">
      <c r="A10" s="123"/>
      <c r="B10" s="124"/>
      <c r="C10" s="149" t="str">
        <f>IF( ISBLANK([1]ReporteProductoIntegrador!C9), " ", [1]ReporteProductoIntegrador!C9)</f>
        <v xml:space="preserve"> </v>
      </c>
      <c r="D10" s="150"/>
      <c r="E10" s="150"/>
      <c r="F10" s="150"/>
      <c r="G10" s="150"/>
    </row>
    <row r="11" spans="1:7" ht="15.75" customHeight="1" x14ac:dyDescent="0.25">
      <c r="A11" s="123"/>
      <c r="B11" s="124"/>
      <c r="C11" s="149" t="str">
        <f>IF( ISBLANK([1]ReporteProductoIntegrador!C10), " ", [1]ReporteProductoIntegrador!C10)</f>
        <v xml:space="preserve"> </v>
      </c>
      <c r="D11" s="150"/>
      <c r="E11" s="150"/>
      <c r="F11" s="150"/>
      <c r="G11" s="150"/>
    </row>
    <row r="12" spans="1:7" ht="20.25" customHeight="1" x14ac:dyDescent="0.25">
      <c r="A12" s="125"/>
      <c r="B12" s="126"/>
      <c r="C12" s="151" t="str">
        <f>IF(ISBLANK([1]ReporteProductoIntegrador!C11)," ",[1]ReporteProductoIntegrador!C11)</f>
        <v xml:space="preserve"> </v>
      </c>
      <c r="D12" s="152"/>
      <c r="E12" s="152"/>
      <c r="F12" s="152"/>
      <c r="G12" s="152"/>
    </row>
    <row r="13" spans="1:7" ht="16.149999999999999" customHeight="1" x14ac:dyDescent="0.25">
      <c r="A13" s="127" t="s">
        <v>41</v>
      </c>
      <c r="B13" s="127"/>
      <c r="C13" s="128"/>
      <c r="D13" s="129" t="s">
        <v>42</v>
      </c>
      <c r="E13" s="130"/>
      <c r="F13" s="130"/>
      <c r="G13" s="130"/>
    </row>
    <row r="14" spans="1:7" ht="28.5" customHeight="1" x14ac:dyDescent="0.25">
      <c r="A14" s="127"/>
      <c r="B14" s="127"/>
      <c r="C14" s="127"/>
      <c r="D14" s="131" t="s">
        <v>12</v>
      </c>
      <c r="E14" s="131" t="s">
        <v>13</v>
      </c>
      <c r="F14" s="131" t="s">
        <v>14</v>
      </c>
      <c r="G14" s="131" t="s">
        <v>15</v>
      </c>
    </row>
    <row r="15" spans="1:7" x14ac:dyDescent="0.25">
      <c r="A15" s="127"/>
      <c r="B15" s="127"/>
      <c r="C15" s="127"/>
      <c r="D15" s="132"/>
      <c r="E15" s="132"/>
      <c r="F15" s="132"/>
      <c r="G15" s="132"/>
    </row>
    <row r="16" spans="1:7" ht="19.5" customHeight="1" x14ac:dyDescent="0.25">
      <c r="A16" s="133" t="e" vm="1">
        <f>IF(ISBLANK([1]ListaAlumnos!C2)," ",[1]ListaAlumnos!C2)</f>
        <v>#VALUE!</v>
      </c>
      <c r="B16" s="134"/>
      <c r="C16" s="135"/>
      <c r="D16" s="136"/>
      <c r="E16" s="136"/>
      <c r="F16" s="136"/>
      <c r="G16" s="136"/>
    </row>
    <row r="17" spans="1:7" ht="19.5" customHeight="1" x14ac:dyDescent="0.25">
      <c r="A17" s="133" t="str">
        <f>IF(ISBLANK([1]ListaAlumnos!C3)," ",[1]ListaAlumnos!C3)</f>
        <v/>
      </c>
      <c r="B17" s="134"/>
      <c r="C17" s="135"/>
      <c r="D17" s="136"/>
      <c r="E17" s="136"/>
      <c r="F17" s="136"/>
      <c r="G17" s="136"/>
    </row>
    <row r="18" spans="1:7" ht="19.5" customHeight="1" x14ac:dyDescent="0.25">
      <c r="A18" s="133" t="str">
        <f>IF(ISBLANK([1]ListaAlumnos!C4)," ",[1]ListaAlumnos!C4)</f>
        <v/>
      </c>
      <c r="B18" s="134"/>
      <c r="C18" s="135"/>
      <c r="D18" s="136"/>
      <c r="E18" s="136"/>
      <c r="F18" s="136"/>
      <c r="G18" s="136"/>
    </row>
    <row r="19" spans="1:7" ht="19.5" customHeight="1" x14ac:dyDescent="0.25">
      <c r="A19" s="133" t="str">
        <f>IF(ISBLANK([1]ListaAlumnos!C5)," ",[1]ListaAlumnos!C5)</f>
        <v/>
      </c>
      <c r="B19" s="134"/>
      <c r="C19" s="135"/>
      <c r="D19" s="136"/>
      <c r="E19" s="136"/>
      <c r="F19" s="136"/>
      <c r="G19" s="136"/>
    </row>
    <row r="20" spans="1:7" ht="19.5" customHeight="1" x14ac:dyDescent="0.25">
      <c r="A20" s="133" t="str">
        <f>IF(ISBLANK([1]ListaAlumnos!C6)," ",[1]ListaAlumnos!C6)</f>
        <v/>
      </c>
      <c r="B20" s="134"/>
      <c r="C20" s="135"/>
      <c r="D20" s="136"/>
      <c r="E20" s="136"/>
      <c r="F20" s="136"/>
      <c r="G20" s="136"/>
    </row>
    <row r="21" spans="1:7" ht="19.5" customHeight="1" x14ac:dyDescent="0.25">
      <c r="A21" s="133" t="str">
        <f>IF(ISBLANK([1]ListaAlumnos!C7)," ",[1]ListaAlumnos!C7)</f>
        <v/>
      </c>
      <c r="B21" s="134"/>
      <c r="C21" s="135"/>
      <c r="D21" s="136"/>
      <c r="E21" s="136"/>
      <c r="F21" s="136"/>
      <c r="G21" s="136"/>
    </row>
    <row r="22" spans="1:7" ht="19.5" customHeight="1" x14ac:dyDescent="0.25">
      <c r="A22" s="133" t="str">
        <f>IF(ISBLANK([1]ListaAlumnos!C8)," ",[1]ListaAlumnos!C8)</f>
        <v/>
      </c>
      <c r="B22" s="134"/>
      <c r="C22" s="135"/>
      <c r="D22" s="136"/>
      <c r="E22" s="136"/>
      <c r="F22" s="136"/>
      <c r="G22" s="136"/>
    </row>
    <row r="23" spans="1:7" ht="19.5" customHeight="1" x14ac:dyDescent="0.25">
      <c r="A23" s="133" t="str">
        <f>IF(ISBLANK([1]ListaAlumnos!C9)," ",[1]ListaAlumnos!C9)</f>
        <v/>
      </c>
      <c r="B23" s="134"/>
      <c r="C23" s="135"/>
      <c r="D23" s="136"/>
      <c r="E23" s="136"/>
      <c r="F23" s="136"/>
      <c r="G23" s="136"/>
    </row>
    <row r="24" spans="1:7" ht="19.5" customHeight="1" x14ac:dyDescent="0.25">
      <c r="A24" s="133" t="str">
        <f>IF(ISBLANK([1]ListaAlumnos!C10)," ",[1]ListaAlumnos!C10)</f>
        <v/>
      </c>
      <c r="B24" s="134"/>
      <c r="C24" s="135"/>
      <c r="D24" s="136"/>
      <c r="E24" s="136"/>
      <c r="F24" s="136"/>
      <c r="G24" s="136"/>
    </row>
    <row r="25" spans="1:7" ht="19.5" customHeight="1" x14ac:dyDescent="0.25">
      <c r="A25" s="133" t="str">
        <f>IF(ISBLANK([1]ListaAlumnos!C11)," ",[1]ListaAlumnos!C11)</f>
        <v/>
      </c>
      <c r="B25" s="134"/>
      <c r="C25" s="135"/>
      <c r="D25" s="136"/>
      <c r="E25" s="136"/>
      <c r="F25" s="136"/>
      <c r="G25" s="136"/>
    </row>
    <row r="26" spans="1:7" ht="19.5" customHeight="1" x14ac:dyDescent="0.25">
      <c r="A26" s="133" t="str">
        <f>IF(ISBLANK([1]ListaAlumnos!C12)," ",[1]ListaAlumnos!C12)</f>
        <v/>
      </c>
      <c r="B26" s="134"/>
      <c r="C26" s="135"/>
      <c r="D26" s="136"/>
      <c r="E26" s="136"/>
      <c r="F26" s="136"/>
      <c r="G26" s="136"/>
    </row>
    <row r="27" spans="1:7" ht="19.5" customHeight="1" x14ac:dyDescent="0.25">
      <c r="A27" s="133" t="str">
        <f>IF(ISBLANK([1]ListaAlumnos!C13)," ",[1]ListaAlumnos!C13)</f>
        <v/>
      </c>
      <c r="B27" s="134"/>
      <c r="C27" s="135"/>
      <c r="D27" s="136"/>
      <c r="E27" s="136"/>
      <c r="F27" s="136"/>
      <c r="G27" s="136"/>
    </row>
    <row r="28" spans="1:7" ht="19.5" customHeight="1" x14ac:dyDescent="0.25">
      <c r="A28" s="133" t="str">
        <f>IF(ISBLANK([1]ListaAlumnos!C14)," ",[1]ListaAlumnos!C14)</f>
        <v/>
      </c>
      <c r="B28" s="134"/>
      <c r="C28" s="135"/>
      <c r="D28" s="136"/>
      <c r="E28" s="136"/>
      <c r="F28" s="136"/>
      <c r="G28" s="136"/>
    </row>
    <row r="29" spans="1:7" ht="19.5" customHeight="1" x14ac:dyDescent="0.25">
      <c r="A29" s="133" t="str">
        <f>IF(ISBLANK([1]ListaAlumnos!C15)," ",[1]ListaAlumnos!C15)</f>
        <v/>
      </c>
      <c r="B29" s="134"/>
      <c r="C29" s="135"/>
      <c r="D29" s="136"/>
      <c r="E29" s="136"/>
      <c r="F29" s="136"/>
      <c r="G29" s="136"/>
    </row>
    <row r="30" spans="1:7" ht="19.5" customHeight="1" x14ac:dyDescent="0.25">
      <c r="A30" s="133" t="str">
        <f>IF(ISBLANK([1]ListaAlumnos!C16)," ",[1]ListaAlumnos!C16)</f>
        <v/>
      </c>
      <c r="B30" s="134"/>
      <c r="C30" s="135"/>
      <c r="D30" s="136"/>
      <c r="E30" s="136"/>
      <c r="F30" s="136"/>
      <c r="G30" s="136"/>
    </row>
    <row r="31" spans="1:7" ht="19.5" customHeight="1" x14ac:dyDescent="0.25">
      <c r="A31" s="133" t="str">
        <f>IF(ISBLANK([1]ListaAlumnos!C17)," ",[1]ListaAlumnos!C17)</f>
        <v/>
      </c>
      <c r="B31" s="134"/>
      <c r="C31" s="135"/>
      <c r="D31" s="136"/>
      <c r="E31" s="136"/>
      <c r="F31" s="136"/>
      <c r="G31" s="136"/>
    </row>
    <row r="32" spans="1:7" ht="19.5" customHeight="1" x14ac:dyDescent="0.25">
      <c r="A32" s="133" t="str">
        <f>IF(ISBLANK([1]ListaAlumnos!C18)," ",[1]ListaAlumnos!C18)</f>
        <v/>
      </c>
      <c r="B32" s="134"/>
      <c r="C32" s="135"/>
      <c r="D32" s="136"/>
      <c r="E32" s="136"/>
      <c r="F32" s="136"/>
      <c r="G32" s="136"/>
    </row>
    <row r="33" spans="1:7" ht="19.5" customHeight="1" x14ac:dyDescent="0.25">
      <c r="A33" s="133" t="str">
        <f>IF(ISBLANK([1]ListaAlumnos!C19)," ",[1]ListaAlumnos!C19)</f>
        <v/>
      </c>
      <c r="B33" s="134"/>
      <c r="C33" s="135"/>
      <c r="D33" s="136"/>
      <c r="E33" s="136"/>
      <c r="F33" s="136"/>
      <c r="G33" s="136"/>
    </row>
    <row r="34" spans="1:7" ht="19.5" customHeight="1" x14ac:dyDescent="0.25">
      <c r="A34" s="133" t="str">
        <f>IF(ISBLANK([1]ListaAlumnos!C20)," ",[1]ListaAlumnos!C20)</f>
        <v/>
      </c>
      <c r="B34" s="134"/>
      <c r="C34" s="135"/>
      <c r="D34" s="136"/>
      <c r="E34" s="136"/>
      <c r="F34" s="136"/>
      <c r="G34" s="136"/>
    </row>
    <row r="35" spans="1:7" ht="19.5" customHeight="1" x14ac:dyDescent="0.25">
      <c r="A35" s="133" t="str">
        <f>IF(ISBLANK([1]ListaAlumnos!C21)," ",[1]ListaAlumnos!C21)</f>
        <v/>
      </c>
      <c r="B35" s="134"/>
      <c r="C35" s="135"/>
      <c r="D35" s="136"/>
      <c r="E35" s="136"/>
      <c r="F35" s="136"/>
      <c r="G35" s="136"/>
    </row>
    <row r="36" spans="1:7" ht="19.5" customHeight="1" x14ac:dyDescent="0.25">
      <c r="A36" s="133" t="str">
        <f>IF(ISBLANK([1]ListaAlumnos!C22)," ",[1]ListaAlumnos!C22)</f>
        <v/>
      </c>
      <c r="B36" s="134"/>
      <c r="C36" s="135"/>
      <c r="D36" s="136"/>
      <c r="E36" s="136"/>
      <c r="F36" s="136"/>
      <c r="G36" s="136"/>
    </row>
    <row r="37" spans="1:7" ht="19.5" customHeight="1" x14ac:dyDescent="0.25">
      <c r="A37" s="133" t="str">
        <f>IF(ISBLANK([1]ListaAlumnos!C23)," ",[1]ListaAlumnos!C23)</f>
        <v/>
      </c>
      <c r="B37" s="134"/>
      <c r="C37" s="135"/>
      <c r="D37" s="136"/>
      <c r="E37" s="136"/>
      <c r="F37" s="136"/>
      <c r="G37" s="136"/>
    </row>
    <row r="38" spans="1:7" ht="19.5" customHeight="1" x14ac:dyDescent="0.25">
      <c r="A38" s="133" t="str">
        <f>IF(ISBLANK([1]ListaAlumnos!C24)," ",[1]ListaAlumnos!C24)</f>
        <v/>
      </c>
      <c r="B38" s="134"/>
      <c r="C38" s="135"/>
      <c r="D38" s="136"/>
      <c r="E38" s="136"/>
      <c r="F38" s="136"/>
      <c r="G38" s="136"/>
    </row>
    <row r="39" spans="1:7" ht="19.5" customHeight="1" x14ac:dyDescent="0.25">
      <c r="A39" s="133" t="str">
        <f>IF(ISBLANK([1]ListaAlumnos!C25)," ",[1]ListaAlumnos!C25)</f>
        <v/>
      </c>
      <c r="B39" s="134"/>
      <c r="C39" s="135"/>
      <c r="D39" s="136"/>
      <c r="E39" s="136"/>
      <c r="F39" s="136"/>
      <c r="G39" s="136"/>
    </row>
    <row r="40" spans="1:7" ht="19.5" customHeight="1" x14ac:dyDescent="0.25">
      <c r="A40" s="133" t="str">
        <f>IF(ISBLANK([1]ListaAlumnos!C26)," ",[1]ListaAlumnos!C26)</f>
        <v/>
      </c>
      <c r="B40" s="134"/>
      <c r="C40" s="135"/>
      <c r="D40" s="136"/>
      <c r="E40" s="136"/>
      <c r="F40" s="136"/>
      <c r="G40" s="136"/>
    </row>
    <row r="41" spans="1:7" ht="19.5" customHeight="1" x14ac:dyDescent="0.25">
      <c r="A41" s="133" t="str">
        <f>IF(ISBLANK([1]ListaAlumnos!C27)," ",[1]ListaAlumnos!C27)</f>
        <v/>
      </c>
      <c r="B41" s="134"/>
      <c r="C41" s="135"/>
      <c r="D41" s="136"/>
      <c r="E41" s="136"/>
      <c r="F41" s="136"/>
      <c r="G41" s="136"/>
    </row>
    <row r="42" spans="1:7" ht="19.5" customHeight="1" x14ac:dyDescent="0.25">
      <c r="A42" s="133" t="str">
        <f>IF(ISBLANK([1]ListaAlumnos!C28)," ",[1]ListaAlumnos!C28)</f>
        <v/>
      </c>
      <c r="B42" s="134"/>
      <c r="C42" s="135"/>
      <c r="D42" s="136"/>
      <c r="E42" s="136"/>
      <c r="F42" s="136"/>
      <c r="G42" s="136"/>
    </row>
    <row r="43" spans="1:7" ht="19.5" customHeight="1" x14ac:dyDescent="0.25">
      <c r="A43" s="133" t="str">
        <f>IF(ISBLANK([1]ListaAlumnos!C29)," ",[1]ListaAlumnos!C29)</f>
        <v/>
      </c>
      <c r="B43" s="134"/>
      <c r="C43" s="135"/>
      <c r="D43" s="136"/>
      <c r="E43" s="136"/>
      <c r="F43" s="136"/>
      <c r="G43" s="136"/>
    </row>
    <row r="44" spans="1:7" ht="19.5" customHeight="1" x14ac:dyDescent="0.25">
      <c r="A44" s="133" t="str">
        <f>IF(ISBLANK([1]ListaAlumnos!C30)," ",[1]ListaAlumnos!C30)</f>
        <v/>
      </c>
      <c r="B44" s="134"/>
      <c r="C44" s="135"/>
      <c r="D44" s="136"/>
      <c r="E44" s="136"/>
      <c r="F44" s="136"/>
      <c r="G44" s="136"/>
    </row>
    <row r="45" spans="1:7" ht="19.5" customHeight="1" x14ac:dyDescent="0.25">
      <c r="A45" s="133" t="str">
        <f>IF(ISBLANK([1]ListaAlumnos!C31)," ",[1]ListaAlumnos!C31)</f>
        <v/>
      </c>
      <c r="B45" s="134"/>
      <c r="C45" s="135"/>
      <c r="D45" s="136"/>
      <c r="E45" s="136"/>
      <c r="F45" s="136"/>
      <c r="G45" s="136"/>
    </row>
    <row r="46" spans="1:7" x14ac:dyDescent="0.25">
      <c r="A46" s="133" t="str">
        <f>IF(ISBLANK([1]ListaAlumnos!C32)," ",[1]ListaAlumnos!C32)</f>
        <v/>
      </c>
      <c r="B46" s="134"/>
      <c r="C46" s="135"/>
      <c r="D46" s="136"/>
      <c r="E46" s="136"/>
      <c r="F46" s="136"/>
      <c r="G46" s="136"/>
    </row>
    <row r="47" spans="1:7" ht="19.5" customHeight="1" x14ac:dyDescent="0.25">
      <c r="A47" s="133" t="str">
        <f>IF(ISBLANK([1]ListaAlumnos!C33)," ",[1]ListaAlumnos!C33)</f>
        <v/>
      </c>
      <c r="B47" s="134"/>
      <c r="C47" s="135"/>
      <c r="D47" s="136"/>
      <c r="E47" s="136"/>
      <c r="F47" s="136"/>
      <c r="G47" s="136"/>
    </row>
    <row r="48" spans="1:7" ht="19.5" customHeight="1" x14ac:dyDescent="0.25">
      <c r="A48" s="133" t="str">
        <f>IF(ISBLANK([1]ListaAlumnos!C34)," ",[1]ListaAlumnos!C34)</f>
        <v/>
      </c>
      <c r="B48" s="134"/>
      <c r="C48" s="135"/>
      <c r="D48" s="136"/>
      <c r="E48" s="136"/>
      <c r="F48" s="136"/>
      <c r="G48" s="136"/>
    </row>
    <row r="49" spans="1:7" ht="19.5" customHeight="1" x14ac:dyDescent="0.25">
      <c r="A49" s="133" t="str">
        <f>IF(ISBLANK([1]ListaAlumnos!C35)," ",[1]ListaAlumnos!C35)</f>
        <v/>
      </c>
      <c r="B49" s="134"/>
      <c r="C49" s="135"/>
      <c r="D49" s="136"/>
      <c r="E49" s="136"/>
      <c r="F49" s="136"/>
      <c r="G49" s="136"/>
    </row>
    <row r="50" spans="1:7" ht="19.5" customHeight="1" x14ac:dyDescent="0.25">
      <c r="A50" s="133" t="str">
        <f>IF(ISBLANK([1]ListaAlumnos!C36)," ",[1]ListaAlumnos!C36)</f>
        <v/>
      </c>
      <c r="B50" s="134"/>
      <c r="C50" s="135"/>
      <c r="D50" s="136"/>
      <c r="E50" s="136"/>
      <c r="F50" s="136"/>
      <c r="G50" s="136"/>
    </row>
    <row r="51" spans="1:7" x14ac:dyDescent="0.25">
      <c r="A51" s="137" t="s">
        <v>43</v>
      </c>
      <c r="B51" s="138"/>
      <c r="C51" s="138"/>
      <c r="D51" s="138"/>
      <c r="E51" s="138"/>
      <c r="F51" s="139"/>
      <c r="G51" s="140" t="e">
        <f>AVERAGEIF(D16:G50,"&lt;&gt;""", D16:G50)</f>
        <v>#DIV/0!</v>
      </c>
    </row>
  </sheetData>
  <mergeCells count="63">
    <mergeCell ref="A46:C46"/>
    <mergeCell ref="A47:C47"/>
    <mergeCell ref="A48:C48"/>
    <mergeCell ref="A49:C49"/>
    <mergeCell ref="A50:C50"/>
    <mergeCell ref="A51:F51"/>
    <mergeCell ref="A40:C40"/>
    <mergeCell ref="A41:C41"/>
    <mergeCell ref="A42:C42"/>
    <mergeCell ref="A43:C43"/>
    <mergeCell ref="A44:C44"/>
    <mergeCell ref="A45:C45"/>
    <mergeCell ref="A34:C34"/>
    <mergeCell ref="A35:C35"/>
    <mergeCell ref="A36:C36"/>
    <mergeCell ref="A37:C37"/>
    <mergeCell ref="A38:C38"/>
    <mergeCell ref="A39:C39"/>
    <mergeCell ref="A28:C28"/>
    <mergeCell ref="A29:C29"/>
    <mergeCell ref="A30:C30"/>
    <mergeCell ref="A31:C31"/>
    <mergeCell ref="A32:C32"/>
    <mergeCell ref="A33:C33"/>
    <mergeCell ref="A22:C22"/>
    <mergeCell ref="A23:C23"/>
    <mergeCell ref="A24:C24"/>
    <mergeCell ref="A25:C25"/>
    <mergeCell ref="A26:C26"/>
    <mergeCell ref="A27:C27"/>
    <mergeCell ref="A16:C16"/>
    <mergeCell ref="A17:C17"/>
    <mergeCell ref="A18:C18"/>
    <mergeCell ref="A19:C19"/>
    <mergeCell ref="A20:C20"/>
    <mergeCell ref="A21:C21"/>
    <mergeCell ref="A13:C15"/>
    <mergeCell ref="D13:G13"/>
    <mergeCell ref="D14:D15"/>
    <mergeCell ref="E14:E15"/>
    <mergeCell ref="F14:F15"/>
    <mergeCell ref="G14:G15"/>
    <mergeCell ref="A8:B8"/>
    <mergeCell ref="C8:G8"/>
    <mergeCell ref="A9:B12"/>
    <mergeCell ref="C9:G9"/>
    <mergeCell ref="C10:G10"/>
    <mergeCell ref="C11:G11"/>
    <mergeCell ref="C12:G12"/>
    <mergeCell ref="A5:B5"/>
    <mergeCell ref="D5:E5"/>
    <mergeCell ref="F5:G5"/>
    <mergeCell ref="A6:B6"/>
    <mergeCell ref="C6:G6"/>
    <mergeCell ref="A7:B7"/>
    <mergeCell ref="C7:G7"/>
    <mergeCell ref="A1:G1"/>
    <mergeCell ref="A2:B2"/>
    <mergeCell ref="C2:G2"/>
    <mergeCell ref="A3:B3"/>
    <mergeCell ref="C3:E3"/>
    <mergeCell ref="A4:B4"/>
    <mergeCell ref="C4:G4"/>
  </mergeCells>
  <pageMargins left="0.7" right="0.7" top="0.75" bottom="0.75" header="0.3" footer="0.3"/>
  <pageSetup scale="69" orientation="landscape" r:id="rId1"/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F04F78AD5D04F9A1571241558CEB5" ma:contentTypeVersion="11" ma:contentTypeDescription="Crear nuevo documento." ma:contentTypeScope="" ma:versionID="7b65265b249362414f0c2b22581bb341">
  <xsd:schema xmlns:xsd="http://www.w3.org/2001/XMLSchema" xmlns:xs="http://www.w3.org/2001/XMLSchema" xmlns:p="http://schemas.microsoft.com/office/2006/metadata/properties" xmlns:ns2="2f331a65-6f06-4401-8a0b-7754c07eb3f3" xmlns:ns3="82a1de80-3b4b-45ba-bc8c-2e04ac9ab525" targetNamespace="http://schemas.microsoft.com/office/2006/metadata/properties" ma:root="true" ma:fieldsID="e1d32a871bef86b4fd5cc3a427691d71" ns2:_="" ns3:_="">
    <xsd:import namespace="2f331a65-6f06-4401-8a0b-7754c07eb3f3"/>
    <xsd:import namespace="82a1de80-3b4b-45ba-bc8c-2e04ac9ab52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31a65-6f06-4401-8a0b-7754c07eb3f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622977b-c3fe-47cf-ac1f-24cfdb6fd6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1de80-3b4b-45ba-bc8c-2e04ac9ab52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f2165a-1d49-4c0d-96e7-b5ef83825840}" ma:internalName="TaxCatchAll" ma:showField="CatchAllData" ma:web="82a1de80-3b4b-45ba-bc8c-2e04ac9ab5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f331a65-6f06-4401-8a0b-7754c07eb3f3" xsi:nil="true"/>
    <lcf76f155ced4ddcb4097134ff3c332f xmlns="2f331a65-6f06-4401-8a0b-7754c07eb3f3">
      <Terms xmlns="http://schemas.microsoft.com/office/infopath/2007/PartnerControls"/>
    </lcf76f155ced4ddcb4097134ff3c332f>
    <TaxCatchAll xmlns="82a1de80-3b4b-45ba-bc8c-2e04ac9ab525" xsi:nil="true"/>
  </documentManagement>
</p:properties>
</file>

<file path=customXml/itemProps1.xml><?xml version="1.0" encoding="utf-8"?>
<ds:datastoreItem xmlns:ds="http://schemas.openxmlformats.org/officeDocument/2006/customXml" ds:itemID="{8447B7CC-0656-4D0A-8B0F-939797A5A4F3}"/>
</file>

<file path=customXml/itemProps2.xml><?xml version="1.0" encoding="utf-8"?>
<ds:datastoreItem xmlns:ds="http://schemas.openxmlformats.org/officeDocument/2006/customXml" ds:itemID="{E13F440A-471D-4B2C-8539-70DDE68A306A}"/>
</file>

<file path=customXml/itemProps3.xml><?xml version="1.0" encoding="utf-8"?>
<ds:datastoreItem xmlns:ds="http://schemas.openxmlformats.org/officeDocument/2006/customXml" ds:itemID="{BFCA0D64-B9FC-4934-8E06-9564DADC54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ReporteProductoIntegrador</vt:lpstr>
      <vt:lpstr>RubricaProducto</vt:lpstr>
      <vt:lpstr>ListaCotejoAtributo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2026-03-27T19:16:16Z</dcterms:created>
  <dc:creator>Alvarez Navarro Eduardo</dc:creator>
  <cp:lastModifiedBy>Alvarez Navarro Eduardo</cp:lastModifiedBy>
  <dcterms:modified xsi:type="dcterms:W3CDTF">2026-03-27T19:28:08Z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0x010100994F04F78AD5D04F9A1571241558CEB5</vt:lpwstr>
  </property>
</Properties>
</file>